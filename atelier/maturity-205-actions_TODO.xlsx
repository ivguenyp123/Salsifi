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pellegrino_m/Downloads/"/>
    </mc:Choice>
  </mc:AlternateContent>
  <xr:revisionPtr revIDLastSave="0" documentId="8_{6CAC9E82-0CBE-4206-83E2-0510FE5EA05A}" xr6:coauthVersionLast="47" xr6:coauthVersionMax="47" xr10:uidLastSave="{00000000-0000-0000-0000-000000000000}"/>
  <bookViews>
    <workbookView xWindow="29400" yWindow="-2480" windowWidth="38400" windowHeight="21600" tabRatio="500" firstSheet="2" activeTab="2" xr2:uid="{00000000-000D-0000-FFFF-FFFF00000000}"/>
  </bookViews>
  <sheets>
    <sheet name="📋 Vue d'ensemble" sheetId="1" r:id="rId1"/>
    <sheet name="🎯 205 Actions" sheetId="2" r:id="rId2"/>
    <sheet name="MPE" sheetId="3" r:id="rId3"/>
    <sheet name="ateliers" sheetId="4" r:id="rId4"/>
    <sheet name="📊 Par axe" sheetId="5" r:id="rId5"/>
    <sheet name="🚦 Par priorité" sheetId="6" r:id="rId6"/>
    <sheet name="📝 Backlog Phase 1" sheetId="7" r:id="rId7"/>
  </sheets>
  <definedNames>
    <definedName name="_xlnm._FilterDatabase" localSheetId="1" hidden="1">'🎯 205 Actions'!$A$1:$M$206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6" l="1"/>
  <c r="D8" i="6" s="1"/>
  <c r="B8" i="6"/>
  <c r="C7" i="6"/>
  <c r="D7" i="6" s="1"/>
  <c r="B7" i="6"/>
  <c r="C6" i="6"/>
  <c r="D6" i="6" s="1"/>
  <c r="B6" i="6"/>
  <c r="C5" i="6"/>
  <c r="D5" i="6" s="1"/>
  <c r="B5" i="6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E12" i="5" s="1"/>
  <c r="D4" i="5"/>
  <c r="D12" i="5" s="1"/>
  <c r="C4" i="5"/>
  <c r="C12" i="5" s="1"/>
  <c r="B4" i="5"/>
  <c r="B12" i="5" s="1"/>
  <c r="F12" i="5" s="1"/>
  <c r="F37" i="4"/>
  <c r="B9" i="1"/>
  <c r="B10" i="1" s="1"/>
  <c r="B8" i="1"/>
  <c r="B7" i="1"/>
  <c r="B6" i="1"/>
  <c r="B5" i="1"/>
</calcChain>
</file>

<file path=xl/sharedStrings.xml><?xml version="1.0" encoding="utf-8"?>
<sst xmlns="http://schemas.openxmlformats.org/spreadsheetml/2006/main" count="5360" uniqueCount="782">
  <si>
    <t>Référentiel d'accompagnement DevOps</t>
  </si>
  <si>
    <t>205 actions d'accompagnement réparties sur 8 axes et 43 questions</t>
  </si>
  <si>
    <t>Stats globales</t>
  </si>
  <si>
    <t>Total actions</t>
  </si>
  <si>
    <t>Questions couvertes</t>
  </si>
  <si>
    <t>Axes couverts</t>
  </si>
  <si>
    <t>Ateliers à écrire</t>
  </si>
  <si>
    <t>Ateliers écrits</t>
  </si>
  <si>
    <t>% Avancement</t>
  </si>
  <si>
    <t>Comment lire ce référentiel</t>
  </si>
  <si>
    <t>Onglet 🎯 205 Actions</t>
  </si>
  <si>
    <t>Catalogue complet de toutes les actions, filtrable et triable.</t>
  </si>
  <si>
    <t>Onglet 📊 Par axe</t>
  </si>
  <si>
    <t>Synthèse par axe — combien d'actions, combien d'ateliers écrits.</t>
  </si>
  <si>
    <t>Onglet 🚦 Par priorité</t>
  </si>
  <si>
    <t>Vue par priorité (Haute/Moyenne/Basse/Préalable) pour planifier.</t>
  </si>
  <si>
    <t>Onglet 📝 Backlog Phase 1</t>
  </si>
  <si>
    <t>Top 30-50 actions à écrire en priorité (à remplir avec données LCL).</t>
  </si>
  <si>
    <t>Statut 'À écrire'</t>
  </si>
  <si>
    <t>Atelier pas encore rédigé.</t>
  </si>
  <si>
    <t>Statut 'En cours'</t>
  </si>
  <si>
    <t>Atelier en rédaction (mets ton nom dans 'Assigné').</t>
  </si>
  <si>
    <t>Statut 'Écrit'</t>
  </si>
  <si>
    <t>Atelier rédigé, prêt pour review.</t>
  </si>
  <si>
    <t>Statut 'Validé'</t>
  </si>
  <si>
    <t>Atelier reviewé et publié.</t>
  </si>
  <si>
    <t>#</t>
  </si>
  <si>
    <t>Question ID</t>
  </si>
  <si>
    <t>Axe</t>
  </si>
  <si>
    <t>Question</t>
  </si>
  <si>
    <t>Type</t>
  </si>
  <si>
    <t>Niveau</t>
  </si>
  <si>
    <t>Priorité</t>
  </si>
  <si>
    <t>Titre du niveau</t>
  </si>
  <si>
    <t>Action</t>
  </si>
  <si>
    <t>Métrique GitLab</t>
  </si>
  <si>
    <t>Statut atelier</t>
  </si>
  <si>
    <t>Assigné</t>
  </si>
  <si>
    <t>Notes</t>
  </si>
  <si>
    <t>Verdict coach</t>
  </si>
  <si>
    <t>Avis coach</t>
  </si>
  <si>
    <t>Action optimale ? (coach)</t>
  </si>
  <si>
    <t>Ordre de production (coach)</t>
  </si>
  <si>
    <t>C01</t>
  </si>
  <si>
    <t>Culture &amp; Rituels</t>
  </si>
  <si>
    <t>La squad dispose-t-elle de rituels communs entre Dev, Ops et autres parties prenantes ?</t>
  </si>
  <si>
    <t>Atelier</t>
  </si>
  <si>
    <t>Initial 🔴</t>
  </si>
  <si>
    <t>Haute</t>
  </si>
  <si>
    <t>Aucun rituel commun</t>
  </si>
  <si>
    <t>Atelier "Notre premier daily" : accompagner la squad à instaurer un daily standup de 15 min max avec Dev + Ops</t>
  </si>
  <si>
    <t>—</t>
  </si>
  <si>
    <t>À écrire</t>
  </si>
  <si>
    <t>✓ Bon</t>
  </si>
  <si>
    <t>Sensibilisation + 1er geste concret : gradation cohérente avec le niveau.</t>
  </si>
  <si>
    <t>🔁 Daily défendable, mais pour une squad sans aucun rituel, tenter d'abord une rétro blameless : construit le muscle de collaboration et fait remonter la douleur (le daily glisse vite vers le statut). À jauger selon la maturité relationnelle.</t>
  </si>
  <si>
    <t>V4 · Rituels communs Dev/Ops</t>
  </si>
  <si>
    <t>Session "Pourquoi des rituels ?" : faire comprendre ensemble la valeur des rituels comme ciment de la collaboration</t>
  </si>
  <si>
    <t>👍 Oui — bonne intervention pour ce palier, je ne changerais pas.</t>
  </si>
  <si>
    <t>En Progrès 🟡</t>
  </si>
  <si>
    <t>Moyenne</t>
  </si>
  <si>
    <t>Rituels naissants mais irréguliers</t>
  </si>
  <si>
    <t>Session formalisation des rituels : bloquer des créneaux fixes dans les agendas et co-construire un format standard</t>
  </si>
  <si>
    <t>Passage à la systématisation : logique de progression respectée.</t>
  </si>
  <si>
    <t>Atelier inclusion des parties prenantes : élargir progressivement les rituels à QA, sécu, produit</t>
  </si>
  <si>
    <t>Formalisé 🔵</t>
  </si>
  <si>
    <t>Basse</t>
  </si>
  <si>
    <t>Rituels en place mais pas toutes les parties prenantes</t>
  </si>
  <si>
    <t>Session mesure de l'efficacité : co-évaluer si les blocages remontés en daily sont résolus dans la journée et ajuster le format</t>
  </si>
  <si>
    <t>Consolidation/mesure : clôt proprement le gradient de maturité.</t>
  </si>
  <si>
    <t>C02</t>
  </si>
  <si>
    <t>Les outils collaboratifs (Teams, Jira, Confluence) sont-ils utilisés efficacement pour réduire les frictions ?</t>
  </si>
  <si>
    <t>Outils utilisés de façon chaotique</t>
  </si>
  <si>
    <t>Atelier "Notre inventaire outillage" : lister ensemble tous les outils utilisés, identifier les doublons et les usages qui se chevauchent</t>
  </si>
  <si>
    <t>V4 · Outils collaboratifs</t>
  </si>
  <si>
    <t>Session "Un outil, un usage" : co-décider des conventions — quel outil pour quel usage</t>
  </si>
  <si>
    <t>Outils identifiés mais pas de conventions</t>
  </si>
  <si>
    <t>Session documentation des conventions : formaliser en 1 page les règles d'usage et les partager avec toute la squad</t>
  </si>
  <si>
    <t>Atelier audit d'adoption : identifier qui utilise quoi et former les récalcitrants</t>
  </si>
  <si>
    <t>🔁 Reformuler « former les récalcitrants » → « comprendre pourquoi l'adoption coince ». L'adoption partielle = rarement mauvaise volonté, souvent inadéquation outil/workflow.</t>
  </si>
  <si>
    <t>Conventions définies mais adoption partielle</t>
  </si>
  <si>
    <t>Session automatisation : mettre en place les notifications croisées, les liens automatiques entre outils et les templates</t>
  </si>
  <si>
    <t>C03</t>
  </si>
  <si>
    <t>Les informations critiques (problèmes, priorités, décisions) circulent-elles rapidement et clairement à tous les membres ?</t>
  </si>
  <si>
    <t>Les infos critiques arrivent tard ou pas du tout</t>
  </si>
  <si>
    <t>Atelier "Notre canal incidents" : créer ensemble un canal dédié aux incidents avec un template de communication standard</t>
  </si>
  <si>
    <t>V4 · Circulation des infos critiques</t>
  </si>
  <si>
    <t>Session "Quand et comment communiquer ?" : co-construire un protocole de communication de crise adapté à la squad</t>
  </si>
  <si>
    <t>Communication réactive mais désorganisée</t>
  </si>
  <si>
    <t>Session template d'incident : formaliser ensemble le format — quoi, impact, qui gère, ETA — et l'imposer comme standard</t>
  </si>
  <si>
    <t>Atelier proactivité : instaurer un point hebdo de 5 min sur les risques identifiés et les dépendances à venir</t>
  </si>
  <si>
    <t>Bonne communication réactive, faible proactivité</t>
  </si>
  <si>
    <t>Session "Angles morts" : identifier ensemble qui ne reçoit pas les infos — nouveaux, mi-temps, externes — et les inclure</t>
  </si>
  <si>
    <t>C04</t>
  </si>
  <si>
    <t>Les rôles et responsabilités sont-ils bien compris et partagés entre les parties ?</t>
  </si>
  <si>
    <t>Rôles flous, chacun fait un peu tout</t>
  </si>
  <si>
    <t>Atelier RACI : co-construire ensemble une matrice RACI sur les 10 activités clés de la squad en 30 min</t>
  </si>
  <si>
    <t>✎ Reformuler</t>
  </si>
  <si>
    <t>« co-construire ensemble » = pléonasme (co = ensemble). Sinon atelier RACI 30 min : excellent format.</t>
  </si>
  <si>
    <t>🔁 RACI finit souvent en théâtre affiché jamais relu. Pour une squad : delegation poker (Management 3.0) ou journal de décisions d'abord — plus engageant et collant. RACI en repli.</t>
  </si>
  <si>
    <t>V4 · Rôles &amp; responsabilités (RACI/delegation)</t>
  </si>
  <si>
    <t>Session "Qui décide quoi ?" : clarifier les décisions clés — qui valide un merge, qui contacte le support N3</t>
  </si>
  <si>
    <t>Rôles définis mais pas partagés</t>
  </si>
  <si>
    <t>Session affichage de la RACI : rendre la matrice visible et accessible, l'intégrer à l'onboarding des nouveaux</t>
  </si>
  <si>
    <t>Atelier zones grises : identifier et clarifier les responsabilités sur les sujets transverses</t>
  </si>
  <si>
    <t>Rôles partagés, revus occasionnellement</t>
  </si>
  <si>
    <t>Session revue trimestrielle : instaurer une revue de la RACI à chaque changement d'équipe ou de périmètre</t>
  </si>
  <si>
    <t>C05</t>
  </si>
  <si>
    <t>Le backlog intègre-t-il les besoins techniques et opérationnels ? (→ User Stories Dev, Sec ET Ops)</t>
  </si>
  <si>
    <t>Backlog 100% fonctionnel, zéro technique</t>
  </si>
  <si>
    <t>Atelier "Notre backlog est-il complet ?" : faire émerger ce qui manque côté technique, sécu et ops</t>
  </si>
  <si>
    <t>V5 · Backlog technique &amp; ops</t>
  </si>
  <si>
    <t>Session négociation avec le PO : accompagner la squad à défendre un quota minimum de 20% pour le technique</t>
  </si>
  <si>
    <t>Quelques sujets techniques mais pas systématiques</t>
  </si>
  <si>
    <t>Session quota technique : formaliser un engagement de 20% minimum par sprint, non négociable</t>
  </si>
  <si>
    <t>🔁 Quota fixe « non négociable » = dogmatique, se retourne contre l'équipe. Relier l'investissement technique au RISQUE observé (incidents, lead time, CVE) pour que le PO arbitre sur des faits. Le quota comme repère, pas comme règle.</t>
  </si>
  <si>
    <t>Atelier "US techniques bien rédigées" : apprendre à écrire des US techniques avec de la valeur visible pour le PO</t>
  </si>
  <si>
    <t>Quota respecté mais pas d'US ops/sécu</t>
  </si>
  <si>
    <t>Session élargissement du backlog : intégrer systématiquement les sujets sécu (scan, dépendances) et ops (monitoring, alerting)</t>
  </si>
  <si>
    <t>C06</t>
  </si>
  <si>
    <t>Les dépendances avec d'autres squads sont-elles anticipées et coordonnées sans blocage ?</t>
  </si>
  <si>
    <t>Dépendances découvertes au dernier moment</t>
  </si>
  <si>
    <t>Atelier cartographie des dépendances : identifier ensemble toutes les dépendances externes et les rendre visibles</t>
  </si>
  <si>
    <t>V5 · Dépendances inter-squads</t>
  </si>
  <si>
    <t>Session synchro inter-squads : instaurer un point bimensuel de 15 min avec les squads dont on dépend</t>
  </si>
  <si>
    <t>Dépendances identifiées mais pas de coordination</t>
  </si>
  <si>
    <t>Session intégration au sprint planning : pour chaque US, identifier "de qui dépend-on ?" et traiter les flous comme des risques</t>
  </si>
  <si>
    <t>Atelier SLA de réponse : négocier ensemble des engagements de réponse avec les squads dépendantes</t>
  </si>
  <si>
    <t>🔁 SLA inter-squads sans autorité = rarement tenus. Préférer working agreements + dépendances visibles sur board partagé (PI planning allégé) à un SLA lettre morte.</t>
  </si>
  <si>
    <t>Coordination en place, quelques surprises encore</t>
  </si>
  <si>
    <t>Session contrats d'interface : documenter ensemble les interfaces exposées pour que les autres squads puissent s'y fier</t>
  </si>
  <si>
    <t>C07</t>
  </si>
  <si>
    <t>Avez-vous instauré des DevOps Reviews régulières ? (avec actions concrètes prises et réalisées)</t>
  </si>
  <si>
    <t>Aucune DevOps Review</t>
  </si>
  <si>
    <t>Accompagnement DevOps Review : co-construire le format, le rythme et les indicateurs de la première DevOps Review</t>
  </si>
  <si>
    <t>✓ Très bon</t>
  </si>
  <si>
    <t>DevOps Review : cœur du métier ACDC. Pertinent et différenciant.</t>
  </si>
  <si>
    <t>👍 DevOps Review : cœur ACDC, meilleure intervention possible ici.</t>
  </si>
  <si>
    <t>V1 · Canevas DevOps Review</t>
  </si>
  <si>
    <t>Session "Notre première DevOps Review" : animer ensemble la première session et poser 3 actions concrètes pour le mois suivant</t>
  </si>
  <si>
    <t>Reviews occasionnelles sans suivi</t>
  </si>
  <si>
    <t>Session formalisation du template : métriques clés, incidents marquants, actions passées, prochaines actions</t>
  </si>
  <si>
    <t>Atelier suivi des actions : chaque action a un responsable et une deadline — on commence à la prochaine session</t>
  </si>
  <si>
    <t>Reviews régulières mais actions pas toujours suivies</t>
  </si>
  <si>
    <t>Session ouverture au management : préparer ensemble une DevOps Review pour le management — métriques, progrès, blocages</t>
  </si>
  <si>
    <t>C08</t>
  </si>
  <si>
    <t>Vous sentez-vous libre de partager des idées, signaler des problèmes ou admettre des erreurs sans crainte de répercussions ?</t>
  </si>
  <si>
    <t>Peur de parler, culture du blâme</t>
  </si>
  <si>
    <t>Atelier blameless culture : introduire le post-mortem sans blame sur un incident récent — zéro nom, que le système</t>
  </si>
  <si>
    <t>Post-mortem blameless sur incident réel : format à fort impact, bien placé en Initial.</t>
  </si>
  <si>
    <t>👍 Post-mortem blameless sur incident réel : geste à plus fort levier pour la sécurité psy.</t>
  </si>
  <si>
    <t>V1 · Atelier Blameless / Sécurité psy</t>
  </si>
  <si>
    <t>Session "On parle du système, jamais des gens" : ancrer la règle et la pratiquer ensemble sur un cas concret</t>
  </si>
  <si>
    <t>Ouverture naissante mais fragile</t>
  </si>
  <si>
    <t>Atelier valorisation publique : apprendre à remercier explicitement celui qui remonte un problème</t>
  </si>
  <si>
    <t>Session rétrospective anonyme : utiliser des formats anonymes pour vérifier que tout le monde se sent vraiment libre</t>
  </si>
  <si>
    <t>🔁 Rétro anonyme = béquille de diagnostic utile, mais pas un régime permanent (signale une sécurité psy basse). À utiliser temporairement, viser le non-anonyme.</t>
  </si>
  <si>
    <t>Bonne ouverture dans la squad, plus difficile avec l'extérieur</t>
  </si>
  <si>
    <t>Session extension de la sécurité psychologique : travailler la posture dans les interactions inter-squads et avec le management</t>
  </si>
  <si>
    <t>C09</t>
  </si>
  <si>
    <t>La squad partage-t-elle ses retours d'expérience avec d'autres équipes internes ou externes ?</t>
  </si>
  <si>
    <t>Aucun partage externe</t>
  </si>
  <si>
    <t>Session "Notre premier lightning talk" : identifier un sujet maîtrisé et préparer ensemble un talk de 10 min pour une squad voisine</t>
  </si>
  <si>
    <t>V5 · Partage des REX</t>
  </si>
  <si>
    <t>Atelier "Qu'est-ce qu'on sait faire ?" : faire émerger les expertises de la squad qui pourraient intéresser d'autres équipes</t>
  </si>
  <si>
    <t>Partage ponctuel, pas systématique</t>
  </si>
  <si>
    <t>Session REX trimestriel : planifier ensemble un format court et l'inscrire dans le calendrier</t>
  </si>
  <si>
    <t>Atelier documentation du savoir : publier un résumé des REX sur Confluence pour élargir l'audience</t>
  </si>
  <si>
    <t>REX réguliers mais audience limitée</t>
  </si>
  <si>
    <t>Session élargissement de l'audience : inviter d'autres tribus et co-construire un format bidirectionnel d'échange</t>
  </si>
  <si>
    <t>C10</t>
  </si>
  <si>
    <t>Êtes-vous maître de votre calendrier de livraison (hors frozen zone) ?</t>
  </si>
  <si>
    <t>Calendrier dicté par les autres</t>
  </si>
  <si>
    <t>Atelier "Nos contraintes dans le miroir" : lister ensemble tout ce qui empêche de livrer quand on veut</t>
  </si>
  <si>
    <t>✎ Style</t>
  </si>
  <si>
    <t>« dans le miroir » : bon, mais le motif revient ~10× dans le catalogue. Varier pour les squads qui enchaînent plusieurs ateliers.</t>
  </si>
  <si>
    <t>V5 · Maîtrise du calendrier de livraison</t>
  </si>
  <si>
    <t>Session négociation des SLA : pour chaque contrainte externe, demander un SLA ou un process de fast-track</t>
  </si>
  <si>
    <t>Quelques marges de manœuvre mais beaucoup de contraintes</t>
  </si>
  <si>
    <t>Atelier automatisation des validations : identifier les validations manuelles qui peuvent être automatisées</t>
  </si>
  <si>
    <t>Session workarounds documentés : formaliser les contournements pour les contraintes incompressibles</t>
  </si>
  <si>
    <t>Autonomie partielle, certains sujets encore bloquants</t>
  </si>
  <si>
    <t>Session identification des goulots résiduels : traiter un par un les derniers points de blocage et mesurer le gain d'autonomie</t>
  </si>
  <si>
    <t>D01</t>
  </si>
  <si>
    <t>Toolchain CI/CD</t>
  </si>
  <si>
    <t>La squad est-elle en capacité de livrer en production plusieurs fois par semaine ?</t>
  </si>
  <si>
    <t>Livraisons rares ou manuelles</t>
  </si>
  <si>
    <t>Atelier "Notre premier pipeline" : accompagner la squad à créer son premier déclencheur automatique sur merge dans main, même sans déploiement encore</t>
  </si>
  <si>
    <t>Deploy freq</t>
  </si>
  <si>
    <t>V2 · CI : premier pipeline &amp; .gitlab-ci.yml</t>
  </si>
  <si>
    <t>Session découverte de la CI/CD modulaire : présenter les templates disponibles et choisir ensemble le point de départ</t>
  </si>
  <si>
    <t>Pipeline automatique mais déploiement encore manuel</t>
  </si>
  <si>
    <t>Session automatisation du déploiement : accompagner l'ajout de l'étape deploy dans le pipeline existant, avec un gate manuel au début si besoin</t>
  </si>
  <si>
    <t>Atelier feature flags : introduire le découplage déploiement/activation pour lever la peur de déployer souvent</t>
  </si>
  <si>
    <t>↔ Chevauchement</t>
  </si>
  <si>
    <t>Atelier feature flags identique à P01 (105-106). À fusionner ou simplement renvoyer vers P01 plutôt que dupliquer le contenu.</t>
  </si>
  <si>
    <t>V4 · Feature flags (mise en place)</t>
  </si>
  <si>
    <t>Déploiement possible mais fréquence insuffisante</t>
  </si>
  <si>
    <t>Atelier découpage incrémental : apprendre à slicer les fonctionnalités pour que chaque merge soit déployable indépendamment</t>
  </si>
  <si>
    <t>Découpage/slicing pour déployabilité — sujet aussi traité en Q04 (149-150) et R04 (175-176). Le thème « petites unités » est dispersé sur 4 questions ; prévoir un atelier socle réutilisable.</t>
  </si>
  <si>
    <t>V2 · Kit slicing / découpage</t>
  </si>
  <si>
    <t>Session "Pourquoi livrer souvent ?" : faire émerger les freins culturels et techniques qui limitent la fréquence</t>
  </si>
  <si>
    <t>🔁 Mauvaise altitude : « pourquoi livrer souvent » est un atelier de niveau Initial. Au palier Formalisé, viser plutôt le trunk-based development + automatisation complète du déploiement. Intervertir avec un item Initial.</t>
  </si>
  <si>
    <t>D02</t>
  </si>
  <si>
    <t>Vos pipelines aboutissent-ils systématiquement sans intervention manuelle ?</t>
  </si>
  <si>
    <t>Pipelines instables, échecs fréquents</t>
  </si>
  <si>
    <t>Atelier "Autopsie de nos échecs" : catégoriser ensemble les 10 derniers échecs et identifier la cause dominante</t>
  </si>
  <si>
    <t>Pipeline OK rate</t>
  </si>
  <si>
    <t>V3 · Stabilité du pipeline (échecs)</t>
  </si>
  <si>
    <t>Session stabilisation prioritaire : attaquer ensemble la catégorie d'échec la plus fréquente — tests flaky, réseau, infra</t>
  </si>
  <si>
    <t>Quelques échecs récurrents identifiés</t>
  </si>
  <si>
    <t>Session retry et résilience : mettre en place les retry automatiques sur les étapes réseau et les tests instables</t>
  </si>
  <si>
    <t>🔁 Anti-pattern : retry sur tests flaky = on MASQUE la cause. Retry uniquement sur étapes externes (réseau, registry). Pour les tests instables : quarantaine + correction de la racine. Sinon le vert devient faux.</t>
  </si>
  <si>
    <t>Atelier "Nos tests dans le miroir" : distinguer les vrais échecs des faux positifs et reprendre confiance dans le pipeline</t>
  </si>
  <si>
    <t>Pipeline majoritairement stable, quelques incidents</t>
  </si>
  <si>
    <t>Session monitoring de la stabilité : mettre en place une alerte si le taux de succès descend sous 90%</t>
  </si>
  <si>
    <t>Alerte si succès &lt; 90% = exactement S02-188 (objectif 90% KPI). Sujet stabilité dédoublé entre Toolchain (D02) et l'axe Stabilité (S).</t>
  </si>
  <si>
    <t>Atelier optimisation : identifier et éliminer les dernières causes d'échec intermittent</t>
  </si>
  <si>
    <t>D03</t>
  </si>
  <si>
    <t>Les déploiements passent-ils systématiquement par la branche principale ?</t>
  </si>
  <si>
    <t>Déploiements depuis n'importe quelle branche</t>
  </si>
  <si>
    <t>Session "Pourquoi main ?" : faire comprendre ensemble les risques et configurer immédiatement la restriction à main dans le .gitlab-ci.yml</t>
  </si>
  <si>
    <t>Deploy via main</t>
  </si>
  <si>
    <t>V3 · Déploiement via main &amp; branches</t>
  </si>
  <si>
    <t>Atelier gouvernance des branches : co-construire les règles de nommage et de cycle de vie adaptées à la squad</t>
  </si>
  <si>
    <t>Majoritairement via main mais exceptions fréquentes</t>
  </si>
  <si>
    <t>Session formalisation des exceptions : documenter ensemble les cas légitimes (hotfix, release) et créer un process pour chacun</t>
  </si>
  <si>
    <t>Atelier "Nos déploiements hors main" : identifier pourquoi les exceptions existent et les éliminer une par une</t>
  </si>
  <si>
    <t>Via main sauf cas documentés</t>
  </si>
  <si>
    <t>Session automatisation de la vérification : configurer le pipeline pour refuser de s'exécuter hors main automatiquement</t>
  </si>
  <si>
    <t>D04</t>
  </si>
  <si>
    <t>Utilisez-vous un système de versioning avec des releases taguées ?</t>
  </si>
  <si>
    <t>Aucun tag, aucune release</t>
  </si>
  <si>
    <t>Atelier "Notre première release" : créer ensemble le premier tag et la première release GitLab, poser les bases du semantic versioning</t>
  </si>
  <si>
    <t>Releases taguées</t>
  </si>
  <si>
    <t>V4 · Versioning &amp; releases taguées</t>
  </si>
  <si>
    <t>Session "Pourquoi versionner ?" : faire comprendre l'enjeu du versioning pour les équipes dépendantes</t>
  </si>
  <si>
    <t>Tags occasionnels, pas de convention</t>
  </si>
  <si>
    <t>Session semantic versioning : adopter ensemble le standard vMAJOR.MINOR.PATCH et documenter quand on incrémente quoi</t>
  </si>
  <si>
    <t>Atelier automatisation des tags : configurer le pipeline pour créer le tag automatiquement sur chaque merge dans main</t>
  </si>
  <si>
    <t>🔁 Auto-tag de CHAQUE merge → bruit de versions. Préférer conventional commits + release-please / semantic-release pour ne taguer que les vraies releases.</t>
  </si>
  <si>
    <t>Semver en place mais releases manuelles</t>
  </si>
  <si>
    <t>Session automatisation du changelog : mettre en place la génération automatique du changelog depuis les commits ou titres de MR</t>
  </si>
  <si>
    <t>⚠ Doublon</t>
  </si>
  <si>
    <t>Génération auto du changelog = action H04-98 quasi mot pour mot. Choisir un seul axe porteur (plutôt D04, c'est de la toolchain).</t>
  </si>
  <si>
    <t>D05</t>
  </si>
  <si>
    <t>Votre pipeline complet s'exécute-t-il en moins de 15 minutes ?</t>
  </si>
  <si>
    <t>Pipeline très long (30+ min)</t>
  </si>
  <si>
    <t>Atelier "Anatomie de notre pipeline" : mesurer ensemble la durée de chaque stage et identifier le goulot principal</t>
  </si>
  <si>
    <t>Durée pipeline</t>
  </si>
  <si>
    <t>V2 · Performance pipeline (cache, parallélisation)</t>
  </si>
  <si>
    <t>Session cache des dépendances : mettre en place le cache node_modules/.m2/pip — souvent 5 à 10 min de gagnées immédiatement</t>
  </si>
  <si>
    <t>👍 Cache des dépendances : le meilleur ratio gain/effort pour un pipeline lent. À garder en tête de file.</t>
  </si>
  <si>
    <t>Pipeline long (15-30 min)</t>
  </si>
  <si>
    <t>Session parallélisation : identifier les stages indépendants et les faire tourner en parallèle</t>
  </si>
  <si>
    <t>Atelier optimisation Docker : réduire l'empreinte des images — multi-stage build, images slim, layers cachées</t>
  </si>
  <si>
    <t>Pipeline correct (10-15 min)</t>
  </si>
  <si>
    <t>Session quality gates : ancrer les seuils de durée dans le pipeline et alerter si ça dérive</t>
  </si>
  <si>
    <t>Session mise en place des indicateurs : suivre la durée dans le temps et célébrer les progrès avec la squad</t>
  </si>
  <si>
    <t>H01</t>
  </si>
  <si>
    <t>Hygiène &amp; Gouvernance</t>
  </si>
  <si>
    <t>Les branches mergées ou abandonnées sont-elles supprimées régulièrement ?</t>
  </si>
  <si>
    <t>Diagnostic</t>
  </si>
  <si>
    <t>Préalable</t>
  </si>
  <si>
    <t>Session diagnostic de l'état du repo : parcourir ensemble l'état des branches, fichiers et settings, faire émerger ce qui freine ou inquiète l'équipe</t>
  </si>
  <si>
    <t>Branches stale</t>
  </si>
  <si>
    <t>✓ Pertinent</t>
  </si>
  <si>
    <t>Diagnostic préalable bien positionné avant les ateliers d'action.</t>
  </si>
  <si>
    <t>V2 · Kit diagnostic &amp; miroir</t>
  </si>
  <si>
    <t>Branches jamais nettoyées (50+)</t>
  </si>
  <si>
    <t>Session activation de la suppression automatique : configurer ensemble la suppression de la branche source après merge</t>
  </si>
  <si>
    <t>🔀 Type</t>
  </si>
  <si>
    <t>Activation suppression auto = clic dans les settings. Plutôt Quick-win/Setup qu'Atelier.</t>
  </si>
  <si>
    <t>V3 · Hygiène des branches</t>
  </si>
  <si>
    <t>Atelier nettoyage one-shot : passer ensemble en revue toutes les branches et décider — merge, fermer ou garder</t>
  </si>
  <si>
    <t>Suppression auto activée mais historique sale</t>
  </si>
  <si>
    <t>Session nettoyage de l'existant : accompagner la squad à supprimer toutes les branches sans commit depuis 30+ jours</t>
  </si>
  <si>
    <t>Atelier conventions de nommage : co-construire des règles de nommage pour identifier rapidement les branches à nettoyer</t>
  </si>
  <si>
    <t>Nettoyage régulier, quelques branches oubliées</t>
  </si>
  <si>
    <t>Session automatisation des alertes : mettre en place un job hebdomadaire qui liste les branches stale et notifie les auteurs</t>
  </si>
  <si>
    <t>H02</t>
  </si>
  <si>
    <t>Les fichiers de lock de dépendances sont-ils versionnés ?</t>
  </si>
  <si>
    <t>Pas de fichiers de lock</t>
  </si>
  <si>
    <t>Session "Pourquoi les lock files ?" : sensibiliser ensemble aux risques des builds non reproductibles</t>
  </si>
  <si>
    <t>Lock files</t>
  </si>
  <si>
    <t>V4 · Lock files &amp; mises à jour deps</t>
  </si>
  <si>
    <t>Atelier mise en place des lock files : accompagner la squad à générer et commiter les lock files pour chaque écosystème</t>
  </si>
  <si>
    <t>Lock files partiels</t>
  </si>
  <si>
    <t>Session audit des écosystèmes : vérifier ensemble chaque écosystème — Node, Python, Java, Go — et compléter les manquants</t>
  </si>
  <si>
    <t>Atelier .gitignore : vérifier que les lock files ne sont pas ignorés accidentellement</t>
  </si>
  <si>
    <t>Lock files présents mais parfois non mis à jour</t>
  </si>
  <si>
    <t>Session Renovate/Dependabot : mettre en place les mises à jour automatiques avec MR dédiées</t>
  </si>
  <si>
    <t>Renovate/Dependabot apparaît aussi en P03-119. Cohérent mais à croiser pour ne pas écrire deux ateliers jumeaux.</t>
  </si>
  <si>
    <t>H03</t>
  </si>
  <si>
    <t>La branche principale est-elle protégée contre le force push ?</t>
  </si>
  <si>
    <t>Branche non protégée</t>
  </si>
  <si>
    <t>Session activation immédiate : configurer ensemble la protection dans Settings &gt; Repository &gt; Protected branches</t>
  </si>
  <si>
    <t>Branch protection</t>
  </si>
  <si>
    <t>Configuration de la branch protection : geste express, pas un atelier. L'atelier de fond, c'est 91 (les risques du force push).</t>
  </si>
  <si>
    <t>V1 · Runbook GitLab hardening</t>
  </si>
  <si>
    <t>Atelier "Les risques du force push" : comprendre ensemble ce qu'un force push peut détruire sur un repo de prod</t>
  </si>
  <si>
    <t>Branche protégée mais force push autorisé</t>
  </si>
  <si>
    <t>Session désactivation du force push : accompagner la squad à désactiver l'option et comprendre pourquoi c'est non négociable</t>
  </si>
  <si>
    <t>Protection basique en place</t>
  </si>
  <si>
    <t>Session niveaux d'accès : configurer ensemble push = No one, merge = Maintainers uniquement</t>
  </si>
  <si>
    <t>H04</t>
  </si>
  <si>
    <t>Le repo contient-il les fichiers essentiels (README, .gitignore, CHANGELOG) ?</t>
  </si>
  <si>
    <t>Aucun fichier standard</t>
  </si>
  <si>
    <t>Atelier "Notre repo a une identité" : co-construire ensemble un README minimal — nom, description, comment lancer, comment contribuer</t>
  </si>
  <si>
    <t>Fichiers standards</t>
  </si>
  <si>
    <t>« co-construire ensemble un README » — retirer « ensemble ». Contenu très bon.</t>
  </si>
  <si>
    <t>V3 · Fichiers essentiels du repo</t>
  </si>
  <si>
    <t>Session .gitignore : créer ensemble un .gitignore adapté à leur stack technique</t>
  </si>
  <si>
    <t>1 ou 2 fichiers présents</t>
  </si>
  <si>
    <t>Atelier enrichissement du README : ajouter ensemble l'architecture, les dépendances, les contacts</t>
  </si>
  <si>
    <t>Session CHANGELOG : créer le fichier et co-décider du processus de mise à jour à chaque release</t>
  </si>
  <si>
    <t>Fichiers présents mais non maintenus</t>
  </si>
  <si>
    <t>Session automatisation du CHANGELOG : mettre en place la génération automatique depuis les commits ou MR</t>
  </si>
  <si>
    <t>Doublon avec D04-72 (changelog auto depuis commits/MR). Idem renvoi.</t>
  </si>
  <si>
    <t>Atelier CONTRIBUTING.md : co-rédiger ensemble le guide d'onboarding des nouveaux contributeurs</t>
  </si>
  <si>
    <t>H05</t>
  </si>
  <si>
    <t>Les merge requests ouvertes sont-elles traitées sous 7 jours ?</t>
  </si>
  <si>
    <t>MR ouvertes depuis des semaines ou mois</t>
  </si>
  <si>
    <t>Atelier tri des MR zombies : passer ensemble en revue chaque MR ouverte et décider — merge, close ou relance</t>
  </si>
  <si>
    <t>MR zombies</t>
  </si>
  <si>
    <t>Question H05 (traitement &lt; 7j) très proche de Q01 (review &lt; 48h). Tri des MR zombies = même geste qu'en Q01. Risque de redondance entre les deux axes.</t>
  </si>
  <si>
    <t>V3 · Flux des MR (délais &amp; tri)</t>
  </si>
  <si>
    <t>Session "Pourquoi nos MR s'accumulent ?" : faire émerger les vraies causes et co-construire des règles de traitement</t>
  </si>
  <si>
    <t>Quelques MR zombies identifiées</t>
  </si>
  <si>
    <t>Session rappels automatiques : configurer une notification au reviewer si une MR n'a pas de review après 3 jours</t>
  </si>
  <si>
    <t>Rappels auto après 3j ≈ Q01-134 (notif après 24h). Aligner les seuils, sinon messages contradictoires pour la squad.</t>
  </si>
  <si>
    <t>Atelier rituel de tri hebdomadaire : instaurer un point de 10 min en daily pour traiter les MR en attente</t>
  </si>
  <si>
    <t>Nettoyage régulier, quelques oublis</t>
  </si>
  <si>
    <t>Session mesure du cycle time : mettre en place le suivi du temps moyen de l'ouverture au merge (objectif &lt; 3 jours)</t>
  </si>
  <si>
    <t>Mesure du cycle time &lt; 3j recouvre toute la question Q01 (review time). Décider qui porte la métrique : H05 ou Q01.</t>
  </si>
  <si>
    <t>P01</t>
  </si>
  <si>
    <t>Pratiques DevOps</t>
  </si>
  <si>
    <t>Utilisez-vous des feature flags pour découpler déploiement et activation de fonctionnalités ?</t>
  </si>
  <si>
    <t>Aucun feature flag</t>
  </si>
  <si>
    <t>Atelier "Déployer sans activer" : introduire le concept de feature flag et montrer ce que ça change dans le quotidien de la squad</t>
  </si>
  <si>
    <t>Feature flags</t>
  </si>
  <si>
    <t>Feature flags : socle. C'est ici le bon emplacement (cf. doublon à retirer en D01-54).</t>
  </si>
  <si>
    <t>Session premier flag : accompagner la squad à mettre en place son premier feature flag sur une vraie fonctionnalité en cours</t>
  </si>
  <si>
    <t>Quelques flags informels (variables d'env)</t>
  </si>
  <si>
    <t>Session structuration : accompagner la squad à adopter un outil de feature flags adapté à leur contexte</t>
  </si>
  <si>
    <t>Atelier "Nos flags actuels" : inventorier les variables d'env existantes et les migrer vers un système structuré</t>
  </si>
  <si>
    <t>Feature flags en place, usage occasionnel</t>
  </si>
  <si>
    <t>Session systématisation : co-décider que toute nouvelle fonctionnalité visible passe par un flag</t>
  </si>
  <si>
    <t>🔁 Flagger TOUT fabrique la dette que P02 doit nettoyer. Cibler : flag quand vrai besoin de découplage / rollout progressif, pas par défaut. Réduit les zombies à la source.</t>
  </si>
  <si>
    <t>Atelier targeting : introduire l'activation par utilisateur, par pourcentage, par environnement</t>
  </si>
  <si>
    <t>P02</t>
  </si>
  <si>
    <t>Les feature flags obsolètes sont-ils régulièrement nettoyés ?</t>
  </si>
  <si>
    <t>Flags jamais nettoyés</t>
  </si>
  <si>
    <t>Session "Nos flags dans le miroir" : inventorier ensemble tous les flags et identifier les zombies</t>
  </si>
  <si>
    <t>Zombie flags</t>
  </si>
  <si>
    <t>V4 · Feature flags (nettoyage)</t>
  </si>
  <si>
    <t>Atelier nettoyage one-shot : supprimer ensemble les flags zombies identifiés</t>
  </si>
  <si>
    <t>Nettoyage ponctuel</t>
  </si>
  <si>
    <t>Session rituel trimestriel : instaurer une revue régulière des flags et co-décider des critères de suppression</t>
  </si>
  <si>
    <t>Atelier date d'expiration : ajouter une date d'expiration à chaque nouveau flag dès sa création</t>
  </si>
  <si>
    <t>Session automatisation : mettre en place un job qui scanne les flags expirés et crée une MR de nettoyage automatiquement</t>
  </si>
  <si>
    <t>P03</t>
  </si>
  <si>
    <t>Les versions de dépendances sont-elles fixées (pas de LATEST, SNAPSHOT, ranges) ?</t>
  </si>
  <si>
    <t>Versions dynamiques partout</t>
  </si>
  <si>
    <t>Atelier "SNAPSHOT en prod : le risque invisible" : sensibiliser ensemble aux dangers des versions non fixées</t>
  </si>
  <si>
    <t>Versions Maven</t>
  </si>
  <si>
    <t>V4 · Versions de dépendances fixées</t>
  </si>
  <si>
    <t>Session fixation immédiate : remplacer ensemble chaque SNAPSHOT et range par la version exacte actuelle</t>
  </si>
  <si>
    <t>Majorité fixée, quelques SNAPSHOT résiduels</t>
  </si>
  <si>
    <t>Session "Avant chaque release" : co-décider que tout SNAPSHOT doit être fixé avant toute mise en prod</t>
  </si>
  <si>
    <t>Atelier Renovate/Dependabot : mettre en place les MR automatiques de mise à jour de dépendances</t>
  </si>
  <si>
    <t>Renovate/Dependabot : même atelier qu'en H02-89. Mutualiser.</t>
  </si>
  <si>
    <t>Versions fixées, pas de processus de mise à jour</t>
  </si>
  <si>
    <t>Session scan de vulnérabilités : ajouter un scan de dépendances dans le pipeline pour détecter les CVE</t>
  </si>
  <si>
    <t>Scan de vulnérabilités/CVE recoupe P04-124 (SAST/scan dépendances). Clarifier la frontière P03 (versions) vs P04 (stages sécu).</t>
  </si>
  <si>
    <t>P04</t>
  </si>
  <si>
    <t>Votre pipeline inclut-il des stages dédiés aux tests, au linting et à la sécurité ?</t>
  </si>
  <si>
    <t>Pipeline = build seulement</t>
  </si>
  <si>
    <t>Atelier "Qu'est-ce qu'un pipeline complet ?" : faire découvrir ensemble les 3 stages fondamentaux — test, lint, sécu</t>
  </si>
  <si>
    <t>Stages pipeline</t>
  </si>
  <si>
    <t>V3 · Pipeline complet : test / lint / sécu</t>
  </si>
  <si>
    <t>Session premier test dans le pipeline : ajouter ensemble 1 test unitaire et un stage test dans le .gitlab-ci.yml</t>
  </si>
  <si>
    <t>Build + tests, pas de lint ni sécu</t>
  </si>
  <si>
    <t>Session ajout du linter : choisir ensemble un linter adapté à leur stack et l'intégrer dans le pipeline</t>
  </si>
  <si>
    <t>Atelier scan de sécurité : intégrer un SAST ou un scan de dépendances en utilisant les templates GitLab disponibles</t>
  </si>
  <si>
    <t>2 stages présents, le 3ème manquant</t>
  </si>
  <si>
    <t>Session complétion et quality gates : ajouter le stage manquant et définir des seuils bloquants</t>
  </si>
  <si>
    <t>P05</t>
  </si>
  <si>
    <t>La configuration CI/CD est-elle versionnée dans le repo ?</t>
  </si>
  <si>
    <t>Pas de .gitlab-ci.yml</t>
  </si>
  <si>
    <t>Atelier "Notre pipeline existe-t-il vraiment ?" : prendre conscience ensemble de ce que l'absence de CI versionnée implique</t>
  </si>
  <si>
    <t>CI versionnée</t>
  </si>
  <si>
    <t>Session création du premier fichier : créer ensemble un .gitlab-ci.yml minimal avec un stage build et le commiter</t>
  </si>
  <si>
    <t>Fichier CI présent mais non maintenu</t>
  </si>
  <si>
    <t>Atelier "Notre CI comme du code" : apprendre à reviewer le .gitlab-ci.yml dans les MR comme n'importe quel code</t>
  </si>
  <si>
    <t>Session factorisation : utiliser des templates partagés pour les stages communs et éviter la duplication</t>
  </si>
  <si>
    <t>CI versionnée et maintenue</t>
  </si>
  <si>
    <t>Session tests sur la CI : mettre en place une validation du pipeline sur une branche avant de merger dans main</t>
  </si>
  <si>
    <t>Q01</t>
  </si>
  <si>
    <t>Processus Merge</t>
  </si>
  <si>
    <t>Les merge requests sont-elles revues et mergées en moins de 48h ?</t>
  </si>
  <si>
    <t>Session diagnostic du process MR actuel : cartographier ensemble le cycle de vie d'une MR de l'ouverture au merge, identifier les frictions et questionner les habitudes installées</t>
  </si>
  <si>
    <t>Review time</t>
  </si>
  <si>
    <t>Diagnostic préalable bien placé — mais cartographier le cycle MR ici ET en H05 fera doublon ; mutualiser le diagnostic.</t>
  </si>
  <si>
    <t>MR qui traînent des semaines</t>
  </si>
  <si>
    <t>Atelier "Nos MR dans le miroir" : visualiser ensemble les temps de review réels et prendre conscience collectivement de l'impact sur la vélocité</t>
  </si>
  <si>
    <t>Session mise en place d'un SLA de review : co-décider d'un premier retour obligatoire sous 24h et d'un merge sous 48h</t>
  </si>
  <si>
    <t>Review en quelques jours, pas systématiquement rapide</t>
  </si>
  <si>
    <t>Session rappels automatiques : configurer ensemble les notifications après 24h sans review et l'escalade après 48h</t>
  </si>
  <si>
    <t>Atelier "Pourquoi nos MR traînent ?" : identifier les vraies causes — MR trop grosses, reviewer absent, sujet complexe</t>
  </si>
  <si>
    <t>Majorité sous 48h, quelques exceptions</t>
  </si>
  <si>
    <t>Session analyse des exceptions : comprendre ensemble pourquoi certaines MR dépassent le SLA et traiter chaque cause</t>
  </si>
  <si>
    <t>Q02</t>
  </si>
  <si>
    <t>Chaque merge request est-elle revue par au moins 2 personnes distinctes de l'auteur ?</t>
  </si>
  <si>
    <t>Pas de règle d'approbation ou auteur peut s'approuver</t>
  </si>
  <si>
    <t>Session "Pourquoi 2 approbateurs ?" : faire comprendre ensemble l'enjeu du principe des 4 yeux en contexte bancaire</t>
  </si>
  <si>
    <t>Approval rules</t>
  </si>
  <si>
    <t>Principe des 4 yeux en contexte bancaire : justification métier juste et forte.</t>
  </si>
  <si>
    <t>Atelier configuration des règles : activer ensemble les règles d'approbation dans GitLab — 2 approbateurs minimum, auteur exclu</t>
  </si>
  <si>
    <t>1 approbateur, auteur exclu</t>
  </si>
  <si>
    <t>Session passage à 2 approbateurs : accompagner la squad à configurer et accepter la règle des 2 approbateurs</t>
  </si>
  <si>
    <t>Atelier "Prevent approvals by committers" : comprendre et activer ensemble le paramètre complémentaire</t>
  </si>
  <si>
    <t>2 approbateurs mais règles non complètes</t>
  </si>
  <si>
    <t>Session finalisation des règles : activer ensemble "Reset approvals on push" et "Prevent editing approval rules"</t>
  </si>
  <si>
    <t>Q03</t>
  </si>
  <si>
    <t>Les code reviews génèrent-elles des échanges constructifs ?</t>
  </si>
  <si>
    <t>Reviews = un LGTM et c'est mergé</t>
  </si>
  <si>
    <t>Atelier "Qu'est-ce qu'une bonne review ?" : faire émerger collectivement les critères d'une review utile et co-construire une charte de la code review</t>
  </si>
  <si>
    <t>Discussions / MR</t>
  </si>
  <si>
    <t>V4 · Qualité des code reviews</t>
  </si>
  <si>
    <t>Session pratique de review en binôme : s'exercer ensemble sur de vraies MR et observer les réflexes</t>
  </si>
  <si>
    <t>Quelques commentaires mais superficiels</t>
  </si>
  <si>
    <t>Atelier feedback constructif : travailler la posture du reviewer — questionner plutôt qu'imposer, expliquer le "pourquoi"</t>
  </si>
  <si>
    <t>Session "Nos meilleures reviews" : identifier ensemble des exemples de bonnes reviews dans l'historique et les partager</t>
  </si>
  <si>
    <t>Discussions de fond sur certaines MR seulement</t>
  </si>
  <si>
    <t>Session systématisation : co-décider que chaque review comporte au minimum 1 commentaire constructif</t>
  </si>
  <si>
    <t>🔁 « ≥1 commentaire par review » transforme ta métrique Discussions/MR en cible → commentaires cosmétiques. Viser l'effet (« la review a-t-elle changé le code ? ») pas le compteur.</t>
  </si>
  <si>
    <t>Atelier mentorat par la review : utiliser les reviews comme outil de montée en compétence des juniors</t>
  </si>
  <si>
    <t>Q04</t>
  </si>
  <si>
    <t>Les merge requests sont-elles découpées en petits changements incrémentaux ?</t>
  </si>
  <si>
    <t>MR de 500+ lignes régulièrement</t>
  </si>
  <si>
    <t>Atelier "Pourquoi découper ?" : faire prendre conscience ensemble de l'impact des grosses MR sur la qualité de review</t>
  </si>
  <si>
    <t>Taille MR</t>
  </si>
  <si>
    <t>Session feature slicing : apprendre à découper une fonctionnalité avant de coder — backend, API, front en MR séparées</t>
  </si>
  <si>
    <t>Feature slicing : se recoupe avec D01-55 et R04-175. Mutualiser le matériel.</t>
  </si>
  <si>
    <t>MR variables, parfois très grosses</t>
  </si>
  <si>
    <t>Atelier découpage incrémental : s'exercer ensemble sur une US en cours et la découper en 2-3 MR autonomes</t>
  </si>
  <si>
    <t>Exercice pratique sur une vraie US — bon, mais s'appuyer sur le socle commun de slicing (cf. 55/149/175).</t>
  </si>
  <si>
    <t>Session "Notre règle des 200 lignes" : co-décider d'un seuil et des mécanismes de rappel adaptés à la squad</t>
  </si>
  <si>
    <t>🔁 Le compte de lignes est un proxy grossier (300 l. de déplacement = trivial ; 40 l. de crypto = critique). Préférer « un seul changement logique par MR » au seuil dur.</t>
  </si>
  <si>
    <t>Majorité de MR raisonnables, quelques grosses</t>
  </si>
  <si>
    <t>Session identification des patterns : comprendre ensemble quels types de sujets produisent des grosses MR et les anticiper</t>
  </si>
  <si>
    <t>Q05</t>
  </si>
  <si>
    <t>Est-il impossible de merger sans au moins une approbation ?</t>
  </si>
  <si>
    <t>Merge possible sans aucune approbation</t>
  </si>
  <si>
    <t>Session activation immédiate : configurer ensemble la protection dans Settings &gt; Merge request approvals</t>
  </si>
  <si>
    <t>MR sans approval</t>
  </si>
  <si>
    <t>« Activation immédiate dans Settings » : geste de config 5 min, pas un atelier 1h. Marquer comme Quick-win/Setup plutôt qu'Atelier.</t>
  </si>
  <si>
    <t>Atelier "Nos merges sans review" : visualiser ensemble les MR mergées sans approbation et mesurer le risque</t>
  </si>
  <si>
    <t>Protection activée mais contournable</t>
  </si>
  <si>
    <t>Session "Prevent editing approval rules" : comprendre et activer ensemble la règle qui empêche de contourner les approbations</t>
  </si>
  <si>
    <t>« Prevent editing approval rules » est déjà l'action Q02-141. Doublon exact entre Q02 et Q05.</t>
  </si>
  <si>
    <t>Atelier audit des exceptions : identifier qui merge sans approbation et pourquoi</t>
  </si>
  <si>
    <t>Protection solide, quelques exceptions admin</t>
  </si>
  <si>
    <t>Session code owners : accompagner la squad à configurer des approbateurs spécifiques sur les fichiers critiques</t>
  </si>
  <si>
    <t>Code owners : pertinent, mais Q05 (≥1 approbation) chevauche largement Q02 (≥2). Envisager de fusionner Q02+Q05 en une question à paliers.</t>
  </si>
  <si>
    <t>R01</t>
  </si>
  <si>
    <t>Résilience &amp; Bus Factor</t>
  </si>
  <si>
    <t>Au moins 2 personnes dans la squad sont-elles capables d'intervenir sur chaque repo ?</t>
  </si>
  <si>
    <t>Session diagnostic de la connaissance partagée : cartographier ensemble qui sait quoi sur quels repos, faire émerger les zones de fragilité et les dépendances silencieuses</t>
  </si>
  <si>
    <t>Bus factor</t>
  </si>
  <si>
    <t>1 seule personne connaît le repo</t>
  </si>
  <si>
    <t>Atelier "Et si untel partait demain ?" : simuler ensemble la perte du membre clé et prendre conscience collectivement du risque</t>
  </si>
  <si>
    <t>👍 « Et si untel partait demain ? » : excellent déclencheur émotionnel pour le bus factor.</t>
  </si>
  <si>
    <t>V5 · Bus factor / connaissance partagée</t>
  </si>
  <si>
    <t>Session pair programming ciblé : accompagner des binômes sur les zones critiques pour diffuser la connaissance en faisant</t>
  </si>
  <si>
    <t>2 personnes mais la seconde connaît peu</t>
  </si>
  <si>
    <t>Atelier rotation sur les US : assigner délibérément des US à la deuxième personne sur ce repo</t>
  </si>
  <si>
    <t>Session documentation des zones critiques : formaliser ce que seul l'expert sait aujourd'hui</t>
  </si>
  <si>
    <t>2-3 personnes, couverture partielle</t>
  </si>
  <si>
    <t>Atelier plan de continuité : co-construire un plan de backup — qui remplace qui, sur quoi, dans quel délai</t>
  </si>
  <si>
    <t>R02</t>
  </si>
  <si>
    <t>La charge de travail est-elle répartie équitablement entre les contributeurs ?</t>
  </si>
  <si>
    <t>1 dev fait 70%+ des commits</t>
  </si>
  <si>
    <t>Atelier "Notre répartition dans le miroir" : visualiser ensemble la concentration des commits et mesurer le risque</t>
  </si>
  <si>
    <t>Concentration commits</t>
  </si>
  <si>
    <t>V5 · Répartition de la charge</t>
  </si>
  <si>
    <t>Session répartition des US : assigner la prochaine US à quelqu'un d'autre que le contributeur principal</t>
  </si>
  <si>
    <t>Répartition déséquilibrée mais consciente</t>
  </si>
  <si>
    <t>Atelier rotation volontaire : co-construire un principe de rotation des sujets pour diversifier les zones de connaissance</t>
  </si>
  <si>
    <t>Session "Le héros devient mentor" : accompagner le contributeur principal à transmettre plutôt qu'à faire</t>
  </si>
  <si>
    <t>Répartition correcte, quelques pics</t>
  </si>
  <si>
    <t>Session mesure de la concentration : suivre le ratio du top contributeur et alerter si ça dépasse 40%</t>
  </si>
  <si>
    <t>🔁 % de commits = indicateur faible (le pairing/review n'apparaît pas) et un seuil pousse au saucissonnage. Garder comme signal de conversation, pas comme cible chiffrée.</t>
  </si>
  <si>
    <t>R03</t>
  </si>
  <si>
    <t>Les reviews sont-elles faites par des personnes variées ?</t>
  </si>
  <si>
    <t>Toujours le même reviewer</t>
  </si>
  <si>
    <t>Session "Pourquoi diversifier les reviews ?" : faire comprendre ensemble l'enjeu de la diffusion de connaissance par la review</t>
  </si>
  <si>
    <t>Diversité reviewers</t>
  </si>
  <si>
    <t>V5 · Diversité des reviewers</t>
  </si>
  <si>
    <t>Atelier rotation des reviewers : mettre en place un système de round-robin pour l'assignation des reviews</t>
  </si>
  <si>
    <t>2 reviewers mais toujours les mêmes</t>
  </si>
  <si>
    <t>Session formation à la review : accompagner d'autres membres de la squad à prendre le rôle de reviewer sur des MR simples</t>
  </si>
  <si>
    <t>Atelier "Les juniors reviewent les seniors" : lever ensemble le frein hiérarchique dans la pratique de review</t>
  </si>
  <si>
    <t>Diversité partielle</t>
  </si>
  <si>
    <t>Session review cross-squad : organiser des reviews croisées avec une squad voisine pour apporter un regard externe</t>
  </si>
  <si>
    <t>R04</t>
  </si>
  <si>
    <t>L'activité sur le repo est-elle régulière (pas de longues périodes d'inactivité) ?</t>
  </si>
  <si>
    <t>Longues périodes d'inactivité (2+ semaines)</t>
  </si>
  <si>
    <t>Atelier "Notre rythme de contribution" : visualiser ensemble les gaps d'activité et identifier les causes</t>
  </si>
  <si>
    <t>Régularité commits</t>
  </si>
  <si>
    <t>V5 · Régularité de l'activité</t>
  </si>
  <si>
    <t>Session découpage en petits incréments : apprendre à commiter quotidiennement plutôt qu'en un gros batch</t>
  </si>
  <si>
    <t>Activité irrégulière, rushes puis silences</t>
  </si>
  <si>
    <t>Session planification en petites itérations : co-construire des US de 1-2 jours max pour créer un flux naturel de commits</t>
  </si>
  <si>
    <t>Atelier "Nos US dans le miroir" : visualiser ensemble la taille des US et leur impact sur la régularité du flux</t>
  </si>
  <si>
    <t>Activité globalement régulière, quelques gaps</t>
  </si>
  <si>
    <t>Session identification des gaps légitimes : distinguer les gaps acceptables (congés) des gaps problématiques (blocages) et traiter ces derniers</t>
  </si>
  <si>
    <t>👍 Distinguer gaps légitimes (congés) des gaps problématiques (blocages) : nuance juste, évite la sur-réaction sur la métrique.</t>
  </si>
  <si>
    <t>S01</t>
  </si>
  <si>
    <t>Stabilité Pipeline</t>
  </si>
  <si>
    <t>Les échecs de pipeline sont-ils traités immédiatement comme une priorité bloquante ?</t>
  </si>
  <si>
    <t>Pipelines rouges ignorés pendant des jours</t>
  </si>
  <si>
    <t>Atelier "Notre culture face aux échecs" : faire émerger comment la squad réagit aujourd'hui à un pipeline rouge</t>
  </si>
  <si>
    <t>Fail rate</t>
  </si>
  <si>
    <t>V5 · Réactivité aux échecs (stop-the-line)</t>
  </si>
  <si>
    <t>Session stop-the-line : co-construire et ancrer la règle — pipeline rouge = plus aucun merge jusqu'au fix</t>
  </si>
  <si>
    <t>Mise en place des notifications automatiques : pipeline rouge → message immédiat dans le canal squad</t>
  </si>
  <si>
    <t>🔁 3ᵉ action en Initial alors que c'est une simple config de notification. À fusionner avec 180 (stop-the-line) ou requalifier en Quick-win.</t>
  </si>
  <si>
    <t>Réaction lente, pas de responsable clair</t>
  </si>
  <si>
    <t>Session "Qui est responsable ?" : co-définir que le dernier committer est responsable du fix ou du revert</t>
  </si>
  <si>
    <t>Atelier notification avec responsable : configurer l'alerte pipeline rouge avec le nom du committer</t>
  </si>
  <si>
    <t>Bonne réactivité mais pas systématique</t>
  </si>
  <si>
    <t>Session mesure du MTTR : mettre en place le suivi du temps entre l'échec et le fix (objectif &lt; 2h)</t>
  </si>
  <si>
    <t>MTTR &lt; 2h recouvre toute la question S03 (fix &lt; 2h). S01 et S03 mesurent quasi la même chose (réactivité aux échecs). Candidats à fusion.</t>
  </si>
  <si>
    <t>S02</t>
  </si>
  <si>
    <t>Votre taux de succès pipeline est-il stable dans le temps ?</t>
  </si>
  <si>
    <t>Taux de succès en dents de scie</t>
  </si>
  <si>
    <t>Session "Lire nos métriques" : apprendre ensemble à visualiser la tendance du taux de succès sur les 3 derniers mois</t>
  </si>
  <si>
    <t>Tendance stabilité</t>
  </si>
  <si>
    <t>V5 · Tendance du taux de succès</t>
  </si>
  <si>
    <t>Atelier "Qu'est-ce qui a changé ?" : analyser ensemble les baisses — nouvelle dépendance, nouveau test, migration</t>
  </si>
  <si>
    <t>Tendance identifiée mais pas d'action</t>
  </si>
  <si>
    <t>Session alerte automatique : configurer une notification si le taux baisse de plus de 5% vs la semaine précédente</t>
  </si>
  <si>
    <t>Atelier "Nos KPIs de stabilité" : co-définir un objectif de 90% minimum et en faire un KPI d'équipe affiché</t>
  </si>
  <si>
    <t>Objectif 90% : recoupe D02-61. Une seule source de vérité pour le seuil de succès pipeline.</t>
  </si>
  <si>
    <t>Suivi hebdomadaire, réactions quand ça baisse</t>
  </si>
  <si>
    <t>Session objectif 95% : challenger la squad à dépasser le seuil de confort et documenter les actions qui font la différence</t>
  </si>
  <si>
    <t>S03</t>
  </si>
  <si>
    <t>Quand un pipeline casse, est-il corrigé en moins de 2 heures ?</t>
  </si>
  <si>
    <t>Correction en plusieurs jours</t>
  </si>
  <si>
    <t>Atelier "Comment on réagit quand ça casse ?" : rejouer ensemble un incident récent et identifier les frictions de diagnostic</t>
  </si>
  <si>
    <t>Recovery time</t>
  </si>
  <si>
    <t>S03 (corrigé &lt; 2h) et S01 (traité comme bloquant) se télescopent. Distinguer nettement « priorité » (S01) de « délai » (S03) ou fusionner.</t>
  </si>
  <si>
    <t>V5 · Recovery time (&lt;2h)</t>
  </si>
  <si>
    <t>Session process d'urgence : co-définir — le committer a 2h pour fix ou revert, le binôme prend le relais sinon</t>
  </si>
  <si>
    <t>Session logs et diagnostic : améliorer ensemble la lisibilité des messages d'erreur pour réduire le temps de diagnostic</t>
  </si>
  <si>
    <t>Correction le jour même, pas en 2h</t>
  </si>
  <si>
    <t>Co-construction du playbook : documenter ensemble les 5 causes d'échec les plus fréquentes et leur fix associé</t>
  </si>
  <si>
    <t>Atelier "Qui est responsable après 17h ?" : clarifier les rôles et le SLA de fix en dehors des heures ouvrées</t>
  </si>
  <si>
    <t>Correction en quelques heures</t>
  </si>
  <si>
    <t>Session revert automatique : explorer ensemble la mise en place d'un revert automatique si le pipeline reste rouge après 2h</t>
  </si>
  <si>
    <t>👍 Revert automatique après 2h : avancé/risqué mais bien placé en « explorer » au niveau Formalisé. OK.</t>
  </si>
  <si>
    <t>S04</t>
  </si>
  <si>
    <t>Les échecs de pipeline restent-ils isolés (jamais plus de 2 consécutifs) ?</t>
  </si>
  <si>
    <t>Séries d'échecs fréquentes (3+ consécutifs)</t>
  </si>
  <si>
    <t>Session activation de "Pipelines must succeed" : comprendre l'impact et configurer ensemble la protection dans Settings &gt; Merge requests</t>
  </si>
  <si>
    <t>Série max échecs</t>
  </si>
  <si>
    <t>« Pipelines must succeed » = setting. Quick-win plutôt qu'Atelier.</t>
  </si>
  <si>
    <t>Atelier "Nos séries d'échecs dans le miroir" : visualiser ensemble les séries passées et identifier les patterns</t>
  </si>
  <si>
    <t>V5 · Séries d'échecs</t>
  </si>
  <si>
    <t>Quelques séries, pas systématiquement bloquant</t>
  </si>
  <si>
    <t>Session check pre-merge : configurer le pipeline pour refuser un merge si la branche est rouge</t>
  </si>
  <si>
    <t>Atelier analyse des séries : comprendre ensemble ce qui déclenche les séries — même cause ou causes différentes</t>
  </si>
  <si>
    <t>Séries rares, maximum 2 consécutifs</t>
  </si>
  <si>
    <t>Session alerte signal faible : configurer une alerte dès qu'une série de 2 apparaît pour intervenir avant que ça s'aggrave</t>
  </si>
  <si>
    <t>X01</t>
  </si>
  <si>
    <t>Sécurité</t>
  </si>
  <si>
    <t>Branche principale protégée</t>
  </si>
  <si>
    <t>Mise en conformité sécurité : activation du setting obligatoire — branch protection</t>
  </si>
  <si>
    <t>Redondant avec H03 (branche protégée, 90-93). Garder l'un OU l'autre, ou assumer X = checklist conformité non négociable vs H03 = accompagnement pédagogique.</t>
  </si>
  <si>
    <t>➖ Item de conformité : geste correct mais redondant avec H03/Q02 (cf. colonne Verdict).</t>
  </si>
  <si>
    <t>X02</t>
  </si>
  <si>
    <t>Force push interdit sur la branche principale</t>
  </si>
  <si>
    <t>Mise en conformité sécurité : activation du setting obligatoire — interdiction du force push</t>
  </si>
  <si>
    <t>Force push : déjà couvert par H03-92 et H03-93. Même setting GitLab.</t>
  </si>
  <si>
    <t>X03</t>
  </si>
  <si>
    <t>Auteur empêché d'approuver sa propre MR</t>
  </si>
  <si>
    <t>Mise en conformité sécurité : activation du setting obligatoire — Prevent approval by author</t>
  </si>
  <si>
    <t>« Prevent approval by author » = exactement le sujet de Q02 (137-141). Doublon.</t>
  </si>
  <si>
    <t>X04</t>
  </si>
  <si>
    <t>Contributeurs empêchés d'approuver leurs commits</t>
  </si>
  <si>
    <t>Mise en conformité sécurité : activation du setting obligatoire — Prevent approvals by users who add commits</t>
  </si>
  <si>
    <t>« Prevent approvals by committers » est mot pour mot l'action Q02-140. Doublon exact.</t>
  </si>
  <si>
    <t>X05</t>
  </si>
  <si>
    <t>Approbations invalidées après un nouveau push</t>
  </si>
  <si>
    <t>Mise en conformité sécurité : activation du setting obligatoire — Remove all approvals when commits are added</t>
  </si>
  <si>
    <t>« Reset approvals on push » est mot pour mot l'action Q02-141. Doublon exact.</t>
  </si>
  <si>
    <t>Remarques MPE</t>
  </si>
  <si>
    <t xml:space="preserve">Ordre de production </t>
  </si>
  <si>
    <t>Besoin déjà couvert ?</t>
  </si>
  <si>
    <t>Documentation existante</t>
  </si>
  <si>
    <t>oui</t>
  </si>
  <si>
    <t>💊 Comment intégrer les Ops aux rituels agiles</t>
  </si>
  <si>
    <t>ok</t>
  </si>
  <si>
    <t>✎ Reformuler — « co-construire ensemble » = pléonasme (co = ensemble). Sinon atelier RACI 30 min : excellent format.
🔁 RACI finit souvent en théâtre affiché jamais relu. Pour une squad : delegation poker (Management 3.0) ou journal de décisions d'abord — plus engageant et collant. RACI en repli.</t>
  </si>
  <si>
    <t>💊 Users Stories Dev + Ops</t>
  </si>
  <si>
    <t>💊 Post Mortem ; 🖼️ Template - Post Mortem</t>
  </si>
  <si>
    <t>💊 Post Mortem</t>
  </si>
  <si>
    <t>✎ Style — « dans le miroir » : bon, mais le motif revient ~10× dans le catalogue. Varier pour les squads qui enchaînent plusieurs ateliers.</t>
  </si>
  <si>
    <t>💊 Créer une pipeline de A à Z</t>
  </si>
  <si>
    <t>notre pipeline donc les docs</t>
  </si>
  <si>
    <t>↔ Chevauchement — Atelier feature flags identique à P01 (105-106). À fusionner ou simplement renvoyer vers P01 plutôt que dupliquer le contenu.</t>
  </si>
  <si>
    <t xml:space="preserve">capsule mis a our </t>
  </si>
  <si>
    <t>↔ Chevauchement — Découpage/slicing pour déployabilité — sujet aussi traité en Q04 (149-150) et R04 (175-176). Le thème « petites unités » est dispersé sur 4 questions ; prévoir un atelier socle réutilisable.</t>
  </si>
  <si>
    <t>↔ Chevauchement — Alerte si succès &lt; 90% = exactement S02-188 (objectif 90% KPI). Sujet stabilité dédoublé entre Toolchain (D02) et l'axe Stabilité (S).</t>
  </si>
  <si>
    <t>non</t>
  </si>
  <si>
    <t>⚠ Doublon — Génération auto du changelog = action H04-98 quasi mot pour mot. Choisir un seul axe porteur (plutôt D04, c'est de la toolchain).</t>
  </si>
  <si>
    <t>💊 Utilisation des caches dans GitLab CI/CD</t>
  </si>
  <si>
    <t>potentiellement</t>
  </si>
  <si>
    <t>💊 Documenter votre flow Git</t>
  </si>
  <si>
    <t>🔀 Type — Activation suppression auto = clic dans les settings. Plutôt Quick-win/Setup qu'Atelier.</t>
  </si>
  <si>
    <t>↔ Chevauchement — Renovate/Dependabot apparaît aussi en P03-119. Cohérent mais à croiser pour ne pas écrire deux ateliers jumeaux.</t>
  </si>
  <si>
    <t>🔀 Type — Configuration de la branch protection : geste express, pas un atelier. L'atelier de fond, c'est 91 (les risques du force push).</t>
  </si>
  <si>
    <t>✎ Reformuler — « co-construire ensemble un README » — retirer « ensemble ». Contenu très bon.</t>
  </si>
  <si>
    <t>🖼️ Template - Documentation Git</t>
  </si>
  <si>
    <t>⚠ Doublon — Doublon avec D04-72 (changelog auto depuis commits/MR). Idem renvoi.</t>
  </si>
  <si>
    <t>↔ Chevauchement — Question H05 (traitement &lt; 7j) très proche de Q01 (review &lt; 48h). Tri des MR zombies = même geste qu'en Q01. Risque de redondance entre les deux axes.</t>
  </si>
  <si>
    <t>💊 Bonnes pratiques de Merge Requests</t>
  </si>
  <si>
    <t>↔ Chevauchement — Rappels auto après 3j ≈ Q01-134 (notif après 24h). Aligner les seuils, sinon messages contradictoires pour la squad.</t>
  </si>
  <si>
    <t>↔ Chevauchement — Mesure du cycle time &lt; 3j recouvre toute la question Q01 (review time). Décider qui porte la métrique : H05 ou Q01.</t>
  </si>
  <si>
    <t>💊 Les Feature Flags ; 📄 Feature Flags dans GitLab CI/CD</t>
  </si>
  <si>
    <t>💊 Nommage et Convention des Feature Flags</t>
  </si>
  <si>
    <t>↔ Chevauchement — Renovate/Dependabot : même atelier qu'en H02-89. Mutualiser.</t>
  </si>
  <si>
    <t>↔ Chevauchement — Scan de vulnérabilités/CVE recoupe P04-124 (SAST/scan dépendances). Clarifier la frontière P03 (versions) vs P04 (stages sécu).</t>
  </si>
  <si>
    <t>💊 Comprendre la Stratégie des Stages &amp; Jobs ; 💊 Intégrer Cypress ; 📄 Sonar</t>
  </si>
  <si>
    <t>💊 Bonnes pratiques de Merge Requests ; 💊 MR - Template et bonnes pratiques</t>
  </si>
  <si>
    <t>↔ Chevauchement — Feature slicing : se recoupe avec D01-55 et R04-175. Mutualiser le matériel.</t>
  </si>
  <si>
    <t>🔀 Type — « Activation immédiate dans Settings » : geste de config 5 min, pas un atelier 1h. Marquer comme Quick-win/Setup plutôt qu'Atelier.</t>
  </si>
  <si>
    <t>⚠ Doublon — « Prevent editing approval rules » est déjà l'action Q02-141. Doublon exact entre Q02 et Q05.</t>
  </si>
  <si>
    <t>↔ Chevauchement — Code owners : pertinent, mais Q05 (≥1 approbation) chevauche largement Q02 (≥2). Envisager de fusionner Q02+Q05 en une question à paliers.</t>
  </si>
  <si>
    <t>↔ Chevauchement — MTTR &lt; 2h recouvre toute la question S03 (fix &lt; 2h). S01 et S03 mesurent quasi la même chose (réactivité aux échecs). Candidats à fusion.</t>
  </si>
  <si>
    <t>↔ Chevauchement — Objectif 90% : recoupe D02-61. Une seule source de vérité pour le seuil de succès pipeline.</t>
  </si>
  <si>
    <t>↔ Chevauchement — S03 (corrigé &lt; 2h) et S01 (traité comme bloquant) se télescopent. Distinguer nettement « priorité » (S01) de « délai » (S03) ou fusionner.</t>
  </si>
  <si>
    <t>🔀 Type — « Pipelines must succeed » = setting. Quick-win plutôt qu'Atelier.</t>
  </si>
  <si>
    <t>⚠ Doublon — Redondant avec H03 (branche protégée, 90-93). Garder l'un OU l'autre, ou assumer X = checklist conformité non négociable vs H03 = accompagnement pédagogique.
➖ Item de conformité : geste correct mais redondant avec H03/Q02 (cf. colonne Verdict).</t>
  </si>
  <si>
    <t>⚠ Doublon — Force push : déjà couvert par H03-92 et H03-93. Même setting GitLab.
➖ Item de conformité : geste correct mais redondant avec H03/Q02 (cf. colonne Verdict).</t>
  </si>
  <si>
    <t>⚠ Doublon — « Prevent approval by author » = exactement le sujet de Q02 (137-141). Doublon.
➖ Item de conformité : geste correct mais redondant avec H03/Q02 (cf. colonne Verdict).</t>
  </si>
  <si>
    <t>⚠ Doublon — « Prevent approvals by committers » est mot pour mot l'action Q02-140. Doublon exact.
➖ Item de conformité : geste correct mais redondant avec H03/Q02 (cf. colonne Verdict).</t>
  </si>
  <si>
    <t>⚠ Doublon — « Reset approvals on push » est mot pour mot l'action Q02-141. Doublon exact.
➖ Item de conformité : geste correct mais redondant avec H03/Q02 (cf. colonne Verdict).</t>
  </si>
  <si>
    <t>Vague</t>
  </si>
  <si>
    <t>Support à produire</t>
  </si>
  <si>
    <t>Description</t>
  </si>
  <si>
    <t>Lignes couvertes</t>
  </si>
  <si>
    <t>Questions</t>
  </si>
  <si>
    <t>Axe(s)</t>
  </si>
  <si>
    <t>À retravailler d'abord</t>
  </si>
  <si>
    <t>Statut</t>
  </si>
  <si>
    <t>Définition des types de support</t>
  </si>
  <si>
    <t>V1</t>
  </si>
  <si>
    <t>Canevas DevOps Review</t>
  </si>
  <si>
    <t>Trame d’animation de la DevOps Review : format, rythme, indicateurs suivis et fil des actions. But : installer le rituel récurrent où la squad pilote sa progression et où tous les autres chantiers remontent et se maintiennent.</t>
  </si>
  <si>
    <t>Canevas</t>
  </si>
  <si>
    <t>À produire</t>
  </si>
  <si>
    <t>Trame réutilisable et structurante pour un rituel récurrent (format, déroulé, indicateurs). La squad la rejoue à chaque occurrence. Ex. DevOps Review.</t>
  </si>
  <si>
    <t>Atelier Blameless / Sécurité psy</t>
  </si>
  <si>
    <t>Post-mortem sans blâme sur un incident réel + ancrage de la règle « on parle du système, jamais des gens ». But : créer la sécurité psychologique sans laquelle aucune rétro, diagnostic ou remontée honnête ne tient.</t>
  </si>
  <si>
    <t>Oui</t>
  </si>
  <si>
    <t>Session animée ponctuelle (~1 h) de montée en compétence collective / co-construction sur un sujet, avec objectif, déroulé et livrable. Format majoritaire du catalogue.</t>
  </si>
  <si>
    <t>Runbook GitLab hardening</t>
  </si>
  <si>
    <t>Pas-à-pas de configuration des protections GitLab : branche protégée, force push interdit, règles d’approbation (2 approbateurs, auteur/committers exclus, reset on push), pipelines-must-succeed. But : mettre les repos en conformité bancaire en un seul geste outillé.</t>
  </si>
  <si>
    <t>Runbook</t>
  </si>
  <si>
    <t>H03, Q02, Q05, S04, X01, X02, X03, X04, X05</t>
  </si>
  <si>
    <t>Hygiène &amp; Gouvernance, Processus Merge, Stabilité Pipeline, Sécurité</t>
  </si>
  <si>
    <t>Procédure opérationnelle courte et actionnable : le pourquoi + le pas-à-pas de configuration pour un geste technique ou de conformité. Pas un atelier. Ex. hardening GitLab.</t>
  </si>
  <si>
    <t>V2</t>
  </si>
  <si>
    <t>Kit diagnostic &amp; miroir</t>
  </si>
  <si>
    <t>Gabarit d’animation réutilisable pour les sessions de prise de conscience : cartographie de l’existant, visualisation des données, restitution « dans le miroir ». But : un format unique servant les 3 diagnostics préalables et tous les ateliers de prise de conscience.</t>
  </si>
  <si>
    <t>Kit</t>
  </si>
  <si>
    <t>H01, Q01, R01</t>
  </si>
  <si>
    <t>Hygiène &amp; Gouvernance, Processus Merge, Résilience &amp; Bus Factor</t>
  </si>
  <si>
    <t>Ensemble de gabarits et supports d’animation réutilisables, transverses à plusieurs questions, mutualisés pour écrire une fois et servir partout. Ex. kit diagnostic, kit slicing.</t>
  </si>
  <si>
    <t>Kit slicing / découpage</t>
  </si>
  <si>
    <t>Méthode et exercices de découpage : feature slicing, un seul changement logique par MR, petits incréments quotidiens. But : socle commun pour réduire la taille des MR et fluidifier le flux et la régularité des commits.</t>
  </si>
  <si>
    <t>D01, Q04, R04</t>
  </si>
  <si>
    <t>Processus Merge, Résilience &amp; Bus Factor, Toolchain CI/CD</t>
  </si>
  <si>
    <t>CI : premier pipeline &amp; .gitlab-ci.yml</t>
  </si>
  <si>
    <t>Création du premier .gitlab-ci.yml versionné et du premier déclencheur automatique sur merge. But : poser le prérequis technique sans lequel aucun autre chantier CI/CD n’est possible.</t>
  </si>
  <si>
    <t>D01, P05</t>
  </si>
  <si>
    <t>Pratiques DevOps, Toolchain CI/CD</t>
  </si>
  <si>
    <t>Performance pipeline (cache, parallélisation)</t>
  </si>
  <si>
    <t>Mesure de la durée par stage puis optimisation : cache des dépendances, parallélisation, images Docker légères. But : ramener le pipeline sous 15 min et créer l’adhésion par un gain visible.</t>
  </si>
  <si>
    <t>V3</t>
  </si>
  <si>
    <t>Flux des MR (délais &amp; tri)</t>
  </si>
  <si>
    <t>Diagnostic du cycle de vie d’une MR, SLA de review/merge, rappels automatiques et tri des MR zombies. But : raccourcir le temps d’attente et désengorger le flux de revue.</t>
  </si>
  <si>
    <t>H05, Q01</t>
  </si>
  <si>
    <t>Hygiène &amp; Gouvernance, Processus Merge</t>
  </si>
  <si>
    <t>Stabilité du pipeline (échecs)</t>
  </si>
  <si>
    <t>Autopsie des échecs, stabilisation de la cause dominante, retry ciblés, suivi du taux de succès. But : rendre le pipeline fiable et redonner confiance dans le vert.</t>
  </si>
  <si>
    <t>Pipeline complet : test / lint / sécu</t>
  </si>
  <si>
    <t>Ajout progressif des stages test, lint et sécurité (SAST, scan de dépendances) avec quality gates. But : passer d’un pipeline « build seul » à un pipeline qui protège réellement.</t>
  </si>
  <si>
    <t>Déploiement via main &amp; branches</t>
  </si>
  <si>
    <t>Restriction des déploiements à la branche principale, gouvernance et nommage des branches, gestion des exceptions. But : fiabiliser et tracer l’origine des déploiements.</t>
  </si>
  <si>
    <t>Hygiène des branches</t>
  </si>
  <si>
    <t>Suppression automatique après merge, nettoyage de l’existant, conventions de nommage, alertes branches stale. But : garder un repo lisible, sans branches mortes.</t>
  </si>
  <si>
    <t>Fichiers essentiels du repo</t>
  </si>
  <si>
    <t>Mise en place et enrichissement de README, .gitignore, CHANGELOG, CONTRIBUTING. But : donner à chaque repo une identité et faciliter l’onboarding.</t>
  </si>
  <si>
    <t>V4</t>
  </si>
  <si>
    <t>Feature flags (mise en place)</t>
  </si>
  <si>
    <t>Concept du découplage déploiement/activation, premier flag, outillage, targeting. But : déployer souvent sans peur en activant les fonctionnalités à la demande.</t>
  </si>
  <si>
    <t>D01, P01</t>
  </si>
  <si>
    <t>Feature flags (nettoyage)</t>
  </si>
  <si>
    <t>Inventaire des flags, suppression des zombies, dates d’expiration, automatisation du nettoyage. But : éviter l’accumulation de dette de flags.</t>
  </si>
  <si>
    <t>Versions de dépendances fixées</t>
  </si>
  <si>
    <t>Suppression des SNAPSHOT/LATEST/ranges, fixation des versions, scan de vulnérabilités. But : garantir des builds reproductibles et maîtriser le risque supply chain.</t>
  </si>
  <si>
    <t>Versioning &amp; releases taguées</t>
  </si>
  <si>
    <t>Premier tag, semantic versioning, automatisation des tags et du changelog. But : rendre les versions lisibles et fiables pour les équipes dépendantes.</t>
  </si>
  <si>
    <t>D04, H04</t>
  </si>
  <si>
    <t>Hygiène &amp; Gouvernance, Toolchain CI/CD</t>
  </si>
  <si>
    <t>Lock files &amp; mises à jour deps</t>
  </si>
  <si>
    <t>Génération et versionnage des lock files par écosystème, Renovate/Dependabot. But : sécuriser la reproductibilité et automatiser les montées de version.</t>
  </si>
  <si>
    <t>H02, P03</t>
  </si>
  <si>
    <t>Hygiène &amp; Gouvernance, Pratiques DevOps</t>
  </si>
  <si>
    <t>Rituels communs Dev/Ops</t>
  </si>
  <si>
    <t>Instauration et formalisation des rituels partagés (daily, inclusion des parties prenantes) et mesure de leur efficacité. But : créer le ciment de la collaboration Dev/Ops.</t>
  </si>
  <si>
    <t>Outils collaboratifs</t>
  </si>
  <si>
    <t>Inventaire des outils, conventions « un outil, un usage », documentation et automatisation. But : réduire les frictions et les doublons d’outillage.</t>
  </si>
  <si>
    <t>Circulation des infos critiques</t>
  </si>
  <si>
    <t>Canal incidents, protocole de communication de crise, template d’incident, proactivité sur les risques. But : faire circuler vite et clairement les informations critiques.</t>
  </si>
  <si>
    <t>Rôles &amp; responsabilités (RACI/delegation)</t>
  </si>
  <si>
    <t>Clarification des rôles via RACI léger ou delegation poker, traitement des zones grises, revue régulière. But : lever les flous sur qui fait et qui décide quoi.</t>
  </si>
  <si>
    <t>Qualité des code reviews</t>
  </si>
  <si>
    <t>Charte de review, feedback constructif, mentorat par la review. But : transformer le LGTM en échange utile qui fait monter l’équipe.</t>
  </si>
  <si>
    <t>V5</t>
  </si>
  <si>
    <t>Bus factor / connaissance partagée</t>
  </si>
  <si>
    <t>Diagnostic du qui-sait-quoi, pair programming ciblé, documentation des zones critiques, plan de continuité. But : éviter qu’un départ paralyse un repo.</t>
  </si>
  <si>
    <t>Répartition de la charge</t>
  </si>
  <si>
    <t>Visualisation de la concentration des contributions, rotation des US, héros qui devient mentor. But : équilibrer la charge et diffuser la connaissance.</t>
  </si>
  <si>
    <t>Diversité des reviewers</t>
  </si>
  <si>
    <t>Rotation des reviewers (round-robin), formation à la review, reviews cross-squad. But : diffuser la connaissance et éviter le reviewer unique.</t>
  </si>
  <si>
    <t>Régularité de l'activité</t>
  </si>
  <si>
    <t>Identification des gaps d’activité, planification en petites itérations, distinction gaps légitimes/problématiques. But : créer un flux de contribution régulier.</t>
  </si>
  <si>
    <t>Réactivité aux échecs (stop-the-line)</t>
  </si>
  <si>
    <t>Règle stop-the-line, responsable du fix/revert, notifications automatiques. But : traiter tout pipeline rouge comme une priorité bloquante.</t>
  </si>
  <si>
    <t>Tendance du taux de succès</t>
  </si>
  <si>
    <t>Lecture des tendances, analyse des baisses, alertes, objectif KPI affiché. But : maintenir un taux de succès stable dans le temps.</t>
  </si>
  <si>
    <t>Recovery time (&lt;2h)</t>
  </si>
  <si>
    <t>Process d’urgence de correction, playbook des causes fréquentes, amélioration du diagnostic, revert automatique. But : ramener le temps de réparation sous 2 h.</t>
  </si>
  <si>
    <t>Séries d'échecs</t>
  </si>
  <si>
    <t>Activation de pipelines-must-succeed, analyse des séries, check pre-merge, alerte signal faible. But : empêcher les échecs en cascade.</t>
  </si>
  <si>
    <t>Backlog technique &amp; ops</t>
  </si>
  <si>
    <t>Mise en visibilité du technique/ops/sécu dans le backlog, arbitrage avec le PO par le risque. But : équilibrer fonctionnel et dette technique.</t>
  </si>
  <si>
    <t>Dépendances inter-squads</t>
  </si>
  <si>
    <t>Cartographie des dépendances, synchros inter-squads, working agreements, contrats d’interface. But : anticiper les dépendances et éviter les blocages de dernière minute.</t>
  </si>
  <si>
    <t>Partage des REX</t>
  </si>
  <si>
    <t>Lightning talks, REX trimestriels, documentation sur Confluence, élargissement de l’audience. But : diffuser les apprentissages au-delà de la squad.</t>
  </si>
  <si>
    <t>Maîtrise du calendrier de livraison</t>
  </si>
  <si>
    <t>Inventaire des contraintes, négociation de SLA externes, automatisation des validations. But : reprendre la main sur le calendrier de livraison hors frozen zone.</t>
  </si>
  <si>
    <t>TOTAL</t>
  </si>
  <si>
    <t>Synthèse par axe d'évaluation</t>
  </si>
  <si>
    <t>Niveau 1 (Initial)</t>
  </si>
  <si>
    <t>Niveau 2 (Progrès)</t>
  </si>
  <si>
    <t>Niveau 3 (Formalisé)</t>
  </si>
  <si>
    <t>% Avancement (écrits / total)</t>
  </si>
  <si>
    <t>Synthèse par priorité</t>
  </si>
  <si>
    <t>Vue d'ensemble</t>
  </si>
  <si>
    <t>Nb actions</t>
  </si>
  <si>
    <t>Écrits</t>
  </si>
  <si>
    <t>Stratégie d'écriture recommandée</t>
  </si>
  <si>
    <t>Phase 1 (Lancement)</t>
  </si>
  <si>
    <t>Top 30-50 actions Haute priorité (Niveau 1) — les plus déclenchées chez LCL</t>
  </si>
  <si>
    <t>Phase 2 (Stabilisation)</t>
  </si>
  <si>
    <t>Compléter toutes les Hautes + démarrer les Moyennes (~80-100 ateliers cumulés)</t>
  </si>
  <si>
    <t>Phase 3 (Couverture)</t>
  </si>
  <si>
    <t>Compléter Moyennes + Basses — open source / contributions externes possibles</t>
  </si>
  <si>
    <t>Diagnostics</t>
  </si>
  <si>
    <t>À écrire en parallèle des Phase 1 — préalables à plusieurs actions</t>
  </si>
  <si>
    <t>Backlog Phase 1 — Top 30-50 actions à écrire en priorité</t>
  </si>
  <si>
    <t>À remplir avec les actions les plus déclenchées dans les évaluations LCL (data extraite du DevOps Hub).</t>
  </si>
  <si>
    <t>Rang</t>
  </si>
  <si>
    <t># Action</t>
  </si>
  <si>
    <t>Fréquence LCL (à remplir)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</si>
</sst>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charset val="1"/>
    </font>
    <font>
      <b/>
      <sz val="18"/>
      <color rgb="FF1F2937"/>
      <name val="Arial"/>
      <family val="2"/>
      <charset val="1"/>
    </font>
    <font>
      <i/>
      <sz val="11"/>
      <color rgb="FF6B7280"/>
      <name val="Arial"/>
      <family val="2"/>
      <charset val="1"/>
    </font>
    <font>
      <b/>
      <sz val="13"/>
      <color rgb="FF1F2937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11"/>
      <color rgb="FFFFFFFF"/>
      <name val="Cambria"/>
      <family val="1"/>
    </font>
    <font>
      <b/>
      <sz val="11"/>
      <color rgb="FF1E7A34"/>
      <name val="Cambria"/>
      <family val="1"/>
    </font>
    <font>
      <b/>
      <sz val="11"/>
      <color rgb="FFB3261E"/>
      <name val="Cambria"/>
      <family val="1"/>
    </font>
    <font>
      <b/>
      <sz val="11"/>
      <color rgb="FF8A5A00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1"/>
    </font>
    <font>
      <b/>
      <sz val="16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i/>
      <sz val="10"/>
      <color rgb="FF6B7280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3F4F6"/>
        <bgColor rgb="FFF1F3F4"/>
      </patternFill>
    </fill>
    <fill>
      <patternFill patternType="solid">
        <fgColor rgb="FF1F2937"/>
        <bgColor rgb="FF333300"/>
      </patternFill>
    </fill>
    <fill>
      <patternFill patternType="solid">
        <fgColor rgb="FF003DA6"/>
        <bgColor rgb="FF0066CC"/>
      </patternFill>
    </fill>
    <fill>
      <patternFill patternType="solid">
        <fgColor rgb="FFFCE7F3"/>
        <bgColor rgb="FFFCE8E6"/>
      </patternFill>
    </fill>
    <fill>
      <patternFill patternType="solid">
        <fgColor rgb="FFFECACA"/>
        <bgColor rgb="FFFED7AA"/>
      </patternFill>
    </fill>
    <fill>
      <patternFill patternType="solid">
        <fgColor rgb="FFE6F4EA"/>
        <bgColor rgb="FFF1F3F4"/>
      </patternFill>
    </fill>
    <fill>
      <patternFill patternType="solid">
        <fgColor rgb="FFFEF7E0"/>
        <bgColor rgb="FFFEF3C7"/>
      </patternFill>
    </fill>
    <fill>
      <patternFill patternType="solid">
        <fgColor rgb="FFB9D2F4"/>
        <bgColor rgb="FFD1D5DB"/>
      </patternFill>
    </fill>
    <fill>
      <patternFill patternType="solid">
        <fgColor rgb="FFFEF3C7"/>
        <bgColor rgb="FFFEF7E0"/>
      </patternFill>
    </fill>
    <fill>
      <patternFill patternType="solid">
        <fgColor rgb="FFDBEAFE"/>
        <bgColor rgb="FFE4EDFB"/>
      </patternFill>
    </fill>
    <fill>
      <patternFill patternType="solid">
        <fgColor rgb="FFE4EDFB"/>
        <bgColor rgb="FFE8F0FE"/>
      </patternFill>
    </fill>
    <fill>
      <patternFill patternType="solid">
        <fgColor rgb="FF2E6FD6"/>
        <bgColor rgb="FF0066CC"/>
      </patternFill>
    </fill>
    <fill>
      <patternFill patternType="solid">
        <fgColor rgb="FF6FA0E6"/>
        <bgColor rgb="FF808080"/>
      </patternFill>
    </fill>
    <fill>
      <patternFill patternType="solid">
        <fgColor rgb="FFFCE8E6"/>
        <bgColor rgb="FFFCE7F3"/>
      </patternFill>
    </fill>
    <fill>
      <patternFill patternType="solid">
        <fgColor rgb="FFE5E7EB"/>
        <bgColor rgb="FFE4EDFB"/>
      </patternFill>
    </fill>
    <fill>
      <patternFill patternType="solid">
        <fgColor rgb="FFE8F0FE"/>
        <bgColor rgb="FFE4EDFB"/>
      </patternFill>
    </fill>
    <fill>
      <patternFill patternType="solid">
        <fgColor rgb="FFFED7AA"/>
        <bgColor rgb="FFFECACA"/>
      </patternFill>
    </fill>
    <fill>
      <patternFill patternType="solid">
        <fgColor rgb="FFEDE9FE"/>
        <bgColor rgb="FFE4EDFB"/>
      </patternFill>
    </fill>
    <fill>
      <patternFill patternType="solid">
        <fgColor rgb="FFD1FAE5"/>
        <bgColor rgb="FFE6F4EA"/>
      </patternFill>
    </fill>
    <fill>
      <patternFill patternType="solid">
        <fgColor rgb="FFFEE2E2"/>
        <bgColor rgb="FFFCE8E6"/>
      </patternFill>
    </fill>
    <fill>
      <patternFill patternType="solid">
        <fgColor rgb="FFF1F3F4"/>
        <bgColor rgb="FFF3F4F6"/>
      </patternFill>
    </fill>
    <fill>
      <patternFill patternType="solid">
        <fgColor rgb="FF4B5563"/>
        <bgColor rgb="FF6B728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4" borderId="0" xfId="0" applyFont="1" applyFill="1"/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0" fillId="7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 wrapText="1"/>
    </xf>
    <xf numFmtId="0" fontId="8" fillId="9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0" fillId="8" borderId="0" xfId="0" applyFill="1" applyAlignment="1">
      <alignment vertical="top"/>
    </xf>
    <xf numFmtId="0" fontId="8" fillId="12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13" borderId="0" xfId="0" applyFont="1" applyFill="1" applyAlignment="1">
      <alignment vertical="top" wrapText="1"/>
    </xf>
    <xf numFmtId="0" fontId="9" fillId="14" borderId="0" xfId="0" applyFont="1" applyFill="1" applyAlignment="1">
      <alignment vertical="top" wrapText="1"/>
    </xf>
    <xf numFmtId="0" fontId="0" fillId="15" borderId="0" xfId="0" applyFill="1" applyAlignment="1">
      <alignment vertical="top"/>
    </xf>
    <xf numFmtId="0" fontId="5" fillId="16" borderId="1" xfId="0" applyFont="1" applyFill="1" applyBorder="1" applyAlignment="1">
      <alignment horizontal="left" vertical="top" wrapText="1"/>
    </xf>
    <xf numFmtId="0" fontId="0" fillId="17" borderId="0" xfId="0" applyFill="1" applyAlignment="1">
      <alignment vertical="top"/>
    </xf>
    <xf numFmtId="0" fontId="5" fillId="18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0" fillId="22" borderId="0" xfId="0" applyFill="1" applyAlignment="1">
      <alignment vertical="top" wrapText="1"/>
    </xf>
    <xf numFmtId="0" fontId="7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 vertical="top"/>
    </xf>
    <xf numFmtId="0" fontId="11" fillId="15" borderId="0" xfId="0" applyFont="1" applyFill="1" applyAlignment="1">
      <alignment horizontal="center" vertical="top"/>
    </xf>
    <xf numFmtId="0" fontId="12" fillId="8" borderId="0" xfId="0" applyFont="1" applyFill="1" applyAlignment="1">
      <alignment horizontal="center" vertical="top"/>
    </xf>
    <xf numFmtId="0" fontId="7" fillId="4" borderId="0" xfId="0" applyFont="1" applyFill="1" applyAlignment="1">
      <alignment vertical="top" wrapText="1"/>
    </xf>
    <xf numFmtId="0" fontId="13" fillId="17" borderId="2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3" fillId="7" borderId="2" xfId="0" applyFont="1" applyFill="1" applyBorder="1" applyAlignment="1">
      <alignment vertical="top"/>
    </xf>
    <xf numFmtId="0" fontId="13" fillId="15" borderId="2" xfId="0" applyFont="1" applyFill="1" applyBorder="1" applyAlignment="1">
      <alignment vertical="top"/>
    </xf>
    <xf numFmtId="0" fontId="7" fillId="13" borderId="0" xfId="0" applyFont="1" applyFill="1" applyAlignment="1">
      <alignment vertical="top" wrapText="1"/>
    </xf>
    <xf numFmtId="0" fontId="13" fillId="8" borderId="2" xfId="0" applyFont="1" applyFill="1" applyBorder="1" applyAlignment="1">
      <alignment vertical="top"/>
    </xf>
    <xf numFmtId="0" fontId="7" fillId="14" borderId="0" xfId="0" applyFont="1" applyFill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14" fillId="12" borderId="0" xfId="0" applyFont="1" applyFill="1" applyAlignment="1">
      <alignment vertical="top" wrapText="1"/>
    </xf>
    <xf numFmtId="0" fontId="13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6" fillId="23" borderId="0" xfId="0" applyFont="1" applyFill="1"/>
    <xf numFmtId="0" fontId="6" fillId="23" borderId="1" xfId="0" applyFont="1" applyFill="1" applyBorder="1" applyAlignment="1">
      <alignment horizontal="center" vertical="center" wrapText="1"/>
    </xf>
    <xf numFmtId="164" fontId="6" fillId="23" borderId="1" xfId="0" applyNumberFormat="1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24" borderId="0" xfId="0" applyFill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8E6"/>
      <rgbColor rgb="FFFF00FF"/>
      <rgbColor rgb="FF00FFFF"/>
      <rgbColor rgb="FF800000"/>
      <rgbColor rgb="FF1E7A34"/>
      <rgbColor rgb="FF000080"/>
      <rgbColor rgb="FF8A5A00"/>
      <rgbColor rgb="FF800080"/>
      <rgbColor rgb="FF008080"/>
      <rgbColor rgb="FFD0D0D0"/>
      <rgbColor rgb="FF808080"/>
      <rgbColor rgb="FF6FA0E6"/>
      <rgbColor rgb="FF993366"/>
      <rgbColor rgb="FFFEF7E0"/>
      <rgbColor rgb="FFE6F4EA"/>
      <rgbColor rgb="FF660066"/>
      <rgbColor rgb="FFFCE7F3"/>
      <rgbColor rgb="FF0066CC"/>
      <rgbColor rgb="FFB9D2F4"/>
      <rgbColor rgb="FF000080"/>
      <rgbColor rgb="FFFF00FF"/>
      <rgbColor rgb="FFF1F3F4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D1D5DB"/>
      <rgbColor rgb="FFFECACA"/>
      <rgbColor rgb="FFE5E7EB"/>
      <rgbColor rgb="FFFED7AA"/>
      <rgbColor rgb="FF2E6FD6"/>
      <rgbColor rgb="FFE8F0FE"/>
      <rgbColor rgb="FFEDE9FE"/>
      <rgbColor rgb="FFFEE2E2"/>
      <rgbColor rgb="FFF3F4F6"/>
      <rgbColor rgb="FFFF6600"/>
      <rgbColor rgb="FF6B7280"/>
      <rgbColor rgb="FFE4EDFB"/>
      <rgbColor rgb="FF003DA6"/>
      <rgbColor rgb="FF339966"/>
      <rgbColor rgb="FF003300"/>
      <rgbColor rgb="FF333300"/>
      <rgbColor rgb="FFB3261E"/>
      <rgbColor rgb="FF993366"/>
      <rgbColor rgb="FF4B5563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/>
  </sheetViews>
  <sheetFormatPr defaultColWidth="8.7109375" defaultRowHeight="15"/>
  <cols>
    <col min="1" max="1" width="28" customWidth="1"/>
    <col min="2" max="2" width="60" customWidth="1"/>
  </cols>
  <sheetData>
    <row r="1" spans="1:5" ht="30" customHeight="1">
      <c r="A1" s="65" t="s">
        <v>0</v>
      </c>
      <c r="B1" s="65"/>
      <c r="C1" s="65"/>
      <c r="D1" s="65"/>
      <c r="E1" s="65"/>
    </row>
    <row r="2" spans="1:5" ht="15" customHeight="1">
      <c r="A2" s="66" t="s">
        <v>1</v>
      </c>
      <c r="B2" s="66"/>
      <c r="C2" s="66"/>
      <c r="D2" s="66"/>
      <c r="E2" s="66"/>
    </row>
    <row r="4" spans="1:5" ht="16.5" customHeight="1">
      <c r="A4" s="67" t="s">
        <v>2</v>
      </c>
      <c r="B4" s="67"/>
    </row>
    <row r="5" spans="1:5" ht="15" customHeight="1">
      <c r="A5" s="1" t="s">
        <v>3</v>
      </c>
      <c r="B5" s="2">
        <f>COUNTA('🎯 205 Actions'!A2:A300)-COUNTBLANK('🎯 205 Actions'!A2:A300)</f>
        <v>111</v>
      </c>
    </row>
    <row r="6" spans="1:5" ht="15" customHeight="1">
      <c r="A6" s="1" t="s">
        <v>4</v>
      </c>
      <c r="B6" s="2">
        <f>SUMPRODUCT(1/COUNTIF('🎯 205 Actions'!B2:B206,'🎯 205 Actions'!B2:B206))</f>
        <v>43</v>
      </c>
    </row>
    <row r="7" spans="1:5" ht="15" customHeight="1">
      <c r="A7" s="1" t="s">
        <v>5</v>
      </c>
      <c r="B7" s="2">
        <f>SUMPRODUCT(1/COUNTIF('🎯 205 Actions'!C2:C206,'🎯 205 Actions'!C2:C206))</f>
        <v>8.0000000000000053</v>
      </c>
    </row>
    <row r="8" spans="1:5" ht="15" customHeight="1">
      <c r="A8" s="1" t="s">
        <v>6</v>
      </c>
      <c r="B8" s="2">
        <f>COUNTIF('🎯 205 Actions'!K2:K206,"À écrire")</f>
        <v>205</v>
      </c>
    </row>
    <row r="9" spans="1:5" ht="15" customHeight="1">
      <c r="A9" s="1" t="s">
        <v>7</v>
      </c>
      <c r="B9" s="2">
        <f>COUNTIF('🎯 205 Actions'!K2:K206,"Écrit")</f>
        <v>0</v>
      </c>
    </row>
    <row r="10" spans="1:5" ht="15" customHeight="1">
      <c r="A10" s="1" t="s">
        <v>8</v>
      </c>
      <c r="B10" s="3">
        <f>IFERROR(B9/B5,0)</f>
        <v>0</v>
      </c>
    </row>
    <row r="12" spans="1:5" ht="16.5" customHeight="1">
      <c r="A12" s="67" t="s">
        <v>9</v>
      </c>
      <c r="B12" s="67"/>
      <c r="C12" s="67"/>
      <c r="D12" s="67"/>
      <c r="E12" s="67"/>
    </row>
    <row r="13" spans="1:5" ht="15" customHeight="1">
      <c r="A13" s="4" t="s">
        <v>10</v>
      </c>
      <c r="B13" s="62" t="s">
        <v>11</v>
      </c>
      <c r="C13" s="62"/>
      <c r="D13" s="62"/>
      <c r="E13" s="62"/>
    </row>
    <row r="14" spans="1:5" ht="15" customHeight="1">
      <c r="A14" s="4" t="s">
        <v>12</v>
      </c>
      <c r="B14" s="62" t="s">
        <v>13</v>
      </c>
      <c r="C14" s="62"/>
      <c r="D14" s="62"/>
      <c r="E14" s="62"/>
    </row>
    <row r="15" spans="1:5" ht="15" customHeight="1">
      <c r="A15" s="4" t="s">
        <v>14</v>
      </c>
      <c r="B15" s="62" t="s">
        <v>15</v>
      </c>
      <c r="C15" s="62"/>
      <c r="D15" s="62"/>
      <c r="E15" s="62"/>
    </row>
    <row r="16" spans="1:5" ht="15" customHeight="1">
      <c r="A16" s="4" t="s">
        <v>16</v>
      </c>
      <c r="B16" s="62" t="s">
        <v>17</v>
      </c>
      <c r="C16" s="62"/>
      <c r="D16" s="62"/>
      <c r="E16" s="62"/>
    </row>
    <row r="17" spans="1:5" ht="15" customHeight="1">
      <c r="A17" s="5"/>
      <c r="B17" s="62"/>
      <c r="C17" s="62"/>
      <c r="D17" s="62"/>
      <c r="E17" s="62"/>
    </row>
    <row r="18" spans="1:5" ht="15" customHeight="1">
      <c r="A18" s="4" t="s">
        <v>18</v>
      </c>
      <c r="B18" s="62" t="s">
        <v>19</v>
      </c>
      <c r="C18" s="62"/>
      <c r="D18" s="62"/>
      <c r="E18" s="62"/>
    </row>
    <row r="19" spans="1:5" ht="15" customHeight="1">
      <c r="A19" s="4" t="s">
        <v>20</v>
      </c>
      <c r="B19" s="62" t="s">
        <v>21</v>
      </c>
      <c r="C19" s="62"/>
      <c r="D19" s="62"/>
      <c r="E19" s="62"/>
    </row>
    <row r="20" spans="1:5" ht="15" customHeight="1">
      <c r="A20" s="4" t="s">
        <v>22</v>
      </c>
      <c r="B20" s="62" t="s">
        <v>23</v>
      </c>
      <c r="C20" s="62"/>
      <c r="D20" s="62"/>
      <c r="E20" s="62"/>
    </row>
    <row r="21" spans="1:5" ht="15" customHeight="1">
      <c r="A21" s="4" t="s">
        <v>24</v>
      </c>
      <c r="B21" s="62" t="s">
        <v>25</v>
      </c>
      <c r="C21" s="62"/>
      <c r="D21" s="62"/>
      <c r="E21" s="62"/>
    </row>
  </sheetData>
  <mergeCells count="13">
    <mergeCell ref="B19:E19"/>
    <mergeCell ref="B20:E20"/>
    <mergeCell ref="B21:E21"/>
    <mergeCell ref="B14:E14"/>
    <mergeCell ref="B15:E15"/>
    <mergeCell ref="B16:E16"/>
    <mergeCell ref="B17:E17"/>
    <mergeCell ref="B18:E18"/>
    <mergeCell ref="A1:E1"/>
    <mergeCell ref="A2:E2"/>
    <mergeCell ref="A4:B4"/>
    <mergeCell ref="A12:E12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6"/>
  <sheetViews>
    <sheetView zoomScaleNormal="100" workbookViewId="0">
      <pane xSplit="3" ySplit="1" topLeftCell="D3" activePane="bottomRight" state="frozen"/>
      <selection pane="bottomRight" activeCell="I159" sqref="I159"/>
      <selection pane="bottomLeft" activeCell="A2" sqref="A2"/>
      <selection pane="topRight" activeCell="D1" sqref="D1"/>
    </sheetView>
  </sheetViews>
  <sheetFormatPr defaultColWidth="8.7109375" defaultRowHeight="15"/>
  <cols>
    <col min="1" max="1" width="5" customWidth="1"/>
    <col min="2" max="2" width="11" customWidth="1"/>
    <col min="3" max="3" width="22" customWidth="1"/>
    <col min="4" max="4" width="50" customWidth="1"/>
    <col min="5" max="5" width="12" customWidth="1"/>
    <col min="6" max="6" width="16" customWidth="1"/>
    <col min="7" max="7" width="12" customWidth="1"/>
    <col min="8" max="8" width="35" customWidth="1"/>
    <col min="9" max="9" width="75" customWidth="1"/>
    <col min="10" max="10" width="22" customWidth="1"/>
    <col min="11" max="11" width="14" customWidth="1"/>
    <col min="12" max="12" width="16" customWidth="1"/>
    <col min="13" max="13" width="30" customWidth="1"/>
    <col min="14" max="14" width="16" customWidth="1"/>
    <col min="15" max="15" width="70" customWidth="1"/>
    <col min="16" max="16" width="75" customWidth="1"/>
    <col min="17" max="17" width="42" customWidth="1"/>
  </cols>
  <sheetData>
    <row r="1" spans="1:17" ht="31.5" customHeight="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7" t="s">
        <v>39</v>
      </c>
      <c r="O1" s="7" t="s">
        <v>40</v>
      </c>
      <c r="P1" s="7" t="s">
        <v>41</v>
      </c>
      <c r="Q1" s="7" t="s">
        <v>42</v>
      </c>
    </row>
    <row r="2" spans="1:17" ht="27.75" customHeight="1">
      <c r="A2" s="8">
        <v>1</v>
      </c>
      <c r="B2" s="8" t="s">
        <v>43</v>
      </c>
      <c r="C2" s="9" t="s">
        <v>44</v>
      </c>
      <c r="D2" s="8" t="s">
        <v>45</v>
      </c>
      <c r="E2" s="8" t="s">
        <v>46</v>
      </c>
      <c r="F2" s="8" t="s">
        <v>47</v>
      </c>
      <c r="G2" s="10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/>
      <c r="M2" s="8"/>
      <c r="N2" s="11" t="s">
        <v>53</v>
      </c>
      <c r="O2" s="12" t="s">
        <v>54</v>
      </c>
      <c r="P2" s="13" t="s">
        <v>55</v>
      </c>
      <c r="Q2" s="14" t="s">
        <v>56</v>
      </c>
    </row>
    <row r="3" spans="1:17" ht="27.75" customHeight="1">
      <c r="A3" s="8">
        <v>2</v>
      </c>
      <c r="B3" s="8" t="s">
        <v>43</v>
      </c>
      <c r="C3" s="9" t="s">
        <v>44</v>
      </c>
      <c r="D3" s="8" t="s">
        <v>45</v>
      </c>
      <c r="E3" s="8" t="s">
        <v>46</v>
      </c>
      <c r="F3" s="8" t="s">
        <v>47</v>
      </c>
      <c r="G3" s="10" t="s">
        <v>48</v>
      </c>
      <c r="H3" s="8" t="s">
        <v>49</v>
      </c>
      <c r="I3" s="8" t="s">
        <v>57</v>
      </c>
      <c r="J3" s="8" t="s">
        <v>51</v>
      </c>
      <c r="K3" s="8" t="s">
        <v>52</v>
      </c>
      <c r="L3" s="8"/>
      <c r="M3" s="8"/>
      <c r="N3" s="11" t="s">
        <v>53</v>
      </c>
      <c r="O3" s="12" t="s">
        <v>54</v>
      </c>
      <c r="P3" s="15" t="s">
        <v>58</v>
      </c>
      <c r="Q3" s="14" t="s">
        <v>56</v>
      </c>
    </row>
    <row r="4" spans="1:17" ht="27.75" customHeight="1">
      <c r="A4" s="8">
        <v>3</v>
      </c>
      <c r="B4" s="8" t="s">
        <v>43</v>
      </c>
      <c r="C4" s="9" t="s">
        <v>44</v>
      </c>
      <c r="D4" s="8" t="s">
        <v>45</v>
      </c>
      <c r="E4" s="8" t="s">
        <v>46</v>
      </c>
      <c r="F4" s="8" t="s">
        <v>59</v>
      </c>
      <c r="G4" s="16" t="s">
        <v>60</v>
      </c>
      <c r="H4" s="8" t="s">
        <v>61</v>
      </c>
      <c r="I4" s="8" t="s">
        <v>62</v>
      </c>
      <c r="J4" s="8" t="s">
        <v>51</v>
      </c>
      <c r="K4" s="8" t="s">
        <v>52</v>
      </c>
      <c r="L4" s="8"/>
      <c r="M4" s="8"/>
      <c r="N4" s="11" t="s">
        <v>53</v>
      </c>
      <c r="O4" s="12" t="s">
        <v>63</v>
      </c>
      <c r="P4" s="15" t="s">
        <v>58</v>
      </c>
      <c r="Q4" s="14" t="s">
        <v>56</v>
      </c>
    </row>
    <row r="5" spans="1:17" ht="27.75" customHeight="1">
      <c r="A5" s="8">
        <v>4</v>
      </c>
      <c r="B5" s="8" t="s">
        <v>43</v>
      </c>
      <c r="C5" s="9" t="s">
        <v>44</v>
      </c>
      <c r="D5" s="8" t="s">
        <v>45</v>
      </c>
      <c r="E5" s="8" t="s">
        <v>46</v>
      </c>
      <c r="F5" s="8" t="s">
        <v>59</v>
      </c>
      <c r="G5" s="16" t="s">
        <v>60</v>
      </c>
      <c r="H5" s="8" t="s">
        <v>61</v>
      </c>
      <c r="I5" s="8" t="s">
        <v>64</v>
      </c>
      <c r="J5" s="8" t="s">
        <v>51</v>
      </c>
      <c r="K5" s="8" t="s">
        <v>52</v>
      </c>
      <c r="L5" s="8"/>
      <c r="M5" s="8"/>
      <c r="N5" s="11" t="s">
        <v>53</v>
      </c>
      <c r="O5" s="12" t="s">
        <v>63</v>
      </c>
      <c r="P5" s="15" t="s">
        <v>58</v>
      </c>
      <c r="Q5" s="14" t="s">
        <v>56</v>
      </c>
    </row>
    <row r="6" spans="1:17" ht="27.75" customHeight="1">
      <c r="A6" s="8">
        <v>5</v>
      </c>
      <c r="B6" s="8" t="s">
        <v>43</v>
      </c>
      <c r="C6" s="9" t="s">
        <v>44</v>
      </c>
      <c r="D6" s="8" t="s">
        <v>45</v>
      </c>
      <c r="E6" s="8" t="s">
        <v>46</v>
      </c>
      <c r="F6" s="8" t="s">
        <v>65</v>
      </c>
      <c r="G6" s="17" t="s">
        <v>66</v>
      </c>
      <c r="H6" s="8" t="s">
        <v>67</v>
      </c>
      <c r="I6" s="8" t="s">
        <v>68</v>
      </c>
      <c r="J6" s="8" t="s">
        <v>51</v>
      </c>
      <c r="K6" s="8" t="s">
        <v>52</v>
      </c>
      <c r="L6" s="8"/>
      <c r="M6" s="8"/>
      <c r="N6" s="11" t="s">
        <v>53</v>
      </c>
      <c r="O6" s="12" t="s">
        <v>69</v>
      </c>
      <c r="P6" s="15" t="s">
        <v>58</v>
      </c>
      <c r="Q6" s="14" t="s">
        <v>56</v>
      </c>
    </row>
    <row r="7" spans="1:17" ht="27.75" customHeight="1">
      <c r="A7" s="8">
        <v>6</v>
      </c>
      <c r="B7" s="8" t="s">
        <v>70</v>
      </c>
      <c r="C7" s="9" t="s">
        <v>44</v>
      </c>
      <c r="D7" s="8" t="s">
        <v>71</v>
      </c>
      <c r="E7" s="8" t="s">
        <v>46</v>
      </c>
      <c r="F7" s="8" t="s">
        <v>47</v>
      </c>
      <c r="G7" s="10" t="s">
        <v>48</v>
      </c>
      <c r="H7" s="8" t="s">
        <v>72</v>
      </c>
      <c r="I7" s="8" t="s">
        <v>73</v>
      </c>
      <c r="J7" s="8" t="s">
        <v>51</v>
      </c>
      <c r="K7" s="8" t="s">
        <v>52</v>
      </c>
      <c r="L7" s="8"/>
      <c r="M7" s="8"/>
      <c r="N7" s="11" t="s">
        <v>53</v>
      </c>
      <c r="O7" s="12" t="s">
        <v>54</v>
      </c>
      <c r="P7" s="15" t="s">
        <v>58</v>
      </c>
      <c r="Q7" s="14" t="s">
        <v>74</v>
      </c>
    </row>
    <row r="8" spans="1:17" ht="27.75" customHeight="1">
      <c r="A8" s="8">
        <v>7</v>
      </c>
      <c r="B8" s="8" t="s">
        <v>70</v>
      </c>
      <c r="C8" s="9" t="s">
        <v>44</v>
      </c>
      <c r="D8" s="8" t="s">
        <v>71</v>
      </c>
      <c r="E8" s="8" t="s">
        <v>46</v>
      </c>
      <c r="F8" s="8" t="s">
        <v>47</v>
      </c>
      <c r="G8" s="10" t="s">
        <v>48</v>
      </c>
      <c r="H8" s="8" t="s">
        <v>72</v>
      </c>
      <c r="I8" s="8" t="s">
        <v>75</v>
      </c>
      <c r="J8" s="8" t="s">
        <v>51</v>
      </c>
      <c r="K8" s="8" t="s">
        <v>52</v>
      </c>
      <c r="L8" s="8"/>
      <c r="M8" s="8"/>
      <c r="N8" s="11" t="s">
        <v>53</v>
      </c>
      <c r="O8" s="12" t="s">
        <v>54</v>
      </c>
      <c r="P8" s="15" t="s">
        <v>58</v>
      </c>
      <c r="Q8" s="14" t="s">
        <v>74</v>
      </c>
    </row>
    <row r="9" spans="1:17" ht="27.75" customHeight="1">
      <c r="A9" s="8">
        <v>8</v>
      </c>
      <c r="B9" s="8" t="s">
        <v>70</v>
      </c>
      <c r="C9" s="9" t="s">
        <v>44</v>
      </c>
      <c r="D9" s="8" t="s">
        <v>71</v>
      </c>
      <c r="E9" s="8" t="s">
        <v>46</v>
      </c>
      <c r="F9" s="8" t="s">
        <v>59</v>
      </c>
      <c r="G9" s="16" t="s">
        <v>60</v>
      </c>
      <c r="H9" s="8" t="s">
        <v>76</v>
      </c>
      <c r="I9" s="8" t="s">
        <v>77</v>
      </c>
      <c r="J9" s="8" t="s">
        <v>51</v>
      </c>
      <c r="K9" s="8" t="s">
        <v>52</v>
      </c>
      <c r="L9" s="8"/>
      <c r="M9" s="8"/>
      <c r="N9" s="11" t="s">
        <v>53</v>
      </c>
      <c r="O9" s="12" t="s">
        <v>63</v>
      </c>
      <c r="P9" s="15" t="s">
        <v>58</v>
      </c>
      <c r="Q9" s="14" t="s">
        <v>74</v>
      </c>
    </row>
    <row r="10" spans="1:17" ht="27.75" customHeight="1">
      <c r="A10" s="8">
        <v>9</v>
      </c>
      <c r="B10" s="8" t="s">
        <v>70</v>
      </c>
      <c r="C10" s="9" t="s">
        <v>44</v>
      </c>
      <c r="D10" s="8" t="s">
        <v>71</v>
      </c>
      <c r="E10" s="8" t="s">
        <v>46</v>
      </c>
      <c r="F10" s="8" t="s">
        <v>59</v>
      </c>
      <c r="G10" s="16" t="s">
        <v>60</v>
      </c>
      <c r="H10" s="8" t="s">
        <v>76</v>
      </c>
      <c r="I10" s="8" t="s">
        <v>78</v>
      </c>
      <c r="J10" s="8" t="s">
        <v>51</v>
      </c>
      <c r="K10" s="8" t="s">
        <v>52</v>
      </c>
      <c r="L10" s="8"/>
      <c r="M10" s="8"/>
      <c r="N10" s="11" t="s">
        <v>53</v>
      </c>
      <c r="O10" s="12" t="s">
        <v>63</v>
      </c>
      <c r="P10" s="13" t="s">
        <v>79</v>
      </c>
      <c r="Q10" s="14" t="s">
        <v>74</v>
      </c>
    </row>
    <row r="11" spans="1:17" ht="27.75" customHeight="1">
      <c r="A11" s="8">
        <v>10</v>
      </c>
      <c r="B11" s="8" t="s">
        <v>70</v>
      </c>
      <c r="C11" s="9" t="s">
        <v>44</v>
      </c>
      <c r="D11" s="8" t="s">
        <v>71</v>
      </c>
      <c r="E11" s="8" t="s">
        <v>46</v>
      </c>
      <c r="F11" s="8" t="s">
        <v>65</v>
      </c>
      <c r="G11" s="17" t="s">
        <v>66</v>
      </c>
      <c r="H11" s="8" t="s">
        <v>80</v>
      </c>
      <c r="I11" s="8" t="s">
        <v>81</v>
      </c>
      <c r="J11" s="8" t="s">
        <v>51</v>
      </c>
      <c r="K11" s="8" t="s">
        <v>52</v>
      </c>
      <c r="L11" s="8"/>
      <c r="M11" s="8"/>
      <c r="N11" s="11" t="s">
        <v>53</v>
      </c>
      <c r="O11" s="12" t="s">
        <v>69</v>
      </c>
      <c r="P11" s="15" t="s">
        <v>58</v>
      </c>
      <c r="Q11" s="14" t="s">
        <v>74</v>
      </c>
    </row>
    <row r="12" spans="1:17" ht="27.75" customHeight="1">
      <c r="A12" s="8">
        <v>11</v>
      </c>
      <c r="B12" s="8" t="s">
        <v>82</v>
      </c>
      <c r="C12" s="9" t="s">
        <v>44</v>
      </c>
      <c r="D12" s="8" t="s">
        <v>83</v>
      </c>
      <c r="E12" s="8" t="s">
        <v>46</v>
      </c>
      <c r="F12" s="8" t="s">
        <v>47</v>
      </c>
      <c r="G12" s="10" t="s">
        <v>48</v>
      </c>
      <c r="H12" s="8" t="s">
        <v>84</v>
      </c>
      <c r="I12" s="8" t="s">
        <v>85</v>
      </c>
      <c r="J12" s="8" t="s">
        <v>51</v>
      </c>
      <c r="K12" s="8" t="s">
        <v>52</v>
      </c>
      <c r="L12" s="8"/>
      <c r="M12" s="8"/>
      <c r="N12" s="11" t="s">
        <v>53</v>
      </c>
      <c r="O12" s="12" t="s">
        <v>54</v>
      </c>
      <c r="P12" s="15" t="s">
        <v>58</v>
      </c>
      <c r="Q12" s="14" t="s">
        <v>86</v>
      </c>
    </row>
    <row r="13" spans="1:17" ht="27.75" customHeight="1">
      <c r="A13" s="8">
        <v>12</v>
      </c>
      <c r="B13" s="8" t="s">
        <v>82</v>
      </c>
      <c r="C13" s="9" t="s">
        <v>44</v>
      </c>
      <c r="D13" s="8" t="s">
        <v>83</v>
      </c>
      <c r="E13" s="8" t="s">
        <v>46</v>
      </c>
      <c r="F13" s="8" t="s">
        <v>47</v>
      </c>
      <c r="G13" s="10" t="s">
        <v>48</v>
      </c>
      <c r="H13" s="8" t="s">
        <v>84</v>
      </c>
      <c r="I13" s="8" t="s">
        <v>87</v>
      </c>
      <c r="J13" s="8" t="s">
        <v>51</v>
      </c>
      <c r="K13" s="8" t="s">
        <v>52</v>
      </c>
      <c r="L13" s="8"/>
      <c r="M13" s="8"/>
      <c r="N13" s="11" t="s">
        <v>53</v>
      </c>
      <c r="O13" s="12" t="s">
        <v>54</v>
      </c>
      <c r="P13" s="15" t="s">
        <v>58</v>
      </c>
      <c r="Q13" s="14" t="s">
        <v>86</v>
      </c>
    </row>
    <row r="14" spans="1:17" ht="27.75" customHeight="1">
      <c r="A14" s="8">
        <v>13</v>
      </c>
      <c r="B14" s="8" t="s">
        <v>82</v>
      </c>
      <c r="C14" s="9" t="s">
        <v>44</v>
      </c>
      <c r="D14" s="8" t="s">
        <v>83</v>
      </c>
      <c r="E14" s="8" t="s">
        <v>46</v>
      </c>
      <c r="F14" s="8" t="s">
        <v>59</v>
      </c>
      <c r="G14" s="16" t="s">
        <v>60</v>
      </c>
      <c r="H14" s="8" t="s">
        <v>88</v>
      </c>
      <c r="I14" s="8" t="s">
        <v>89</v>
      </c>
      <c r="J14" s="8" t="s">
        <v>51</v>
      </c>
      <c r="K14" s="8" t="s">
        <v>52</v>
      </c>
      <c r="L14" s="8"/>
      <c r="M14" s="8"/>
      <c r="N14" s="11" t="s">
        <v>53</v>
      </c>
      <c r="O14" s="12" t="s">
        <v>63</v>
      </c>
      <c r="P14" s="15" t="s">
        <v>58</v>
      </c>
      <c r="Q14" s="14" t="s">
        <v>86</v>
      </c>
    </row>
    <row r="15" spans="1:17" ht="27.75" customHeight="1">
      <c r="A15" s="8">
        <v>14</v>
      </c>
      <c r="B15" s="8" t="s">
        <v>82</v>
      </c>
      <c r="C15" s="9" t="s">
        <v>44</v>
      </c>
      <c r="D15" s="8" t="s">
        <v>83</v>
      </c>
      <c r="E15" s="8" t="s">
        <v>46</v>
      </c>
      <c r="F15" s="8" t="s">
        <v>59</v>
      </c>
      <c r="G15" s="16" t="s">
        <v>60</v>
      </c>
      <c r="H15" s="8" t="s">
        <v>88</v>
      </c>
      <c r="I15" s="8" t="s">
        <v>90</v>
      </c>
      <c r="J15" s="8" t="s">
        <v>51</v>
      </c>
      <c r="K15" s="8" t="s">
        <v>52</v>
      </c>
      <c r="L15" s="8"/>
      <c r="M15" s="8"/>
      <c r="N15" s="11" t="s">
        <v>53</v>
      </c>
      <c r="O15" s="12" t="s">
        <v>63</v>
      </c>
      <c r="P15" s="15" t="s">
        <v>58</v>
      </c>
      <c r="Q15" s="14" t="s">
        <v>86</v>
      </c>
    </row>
    <row r="16" spans="1:17" ht="27.75" customHeight="1">
      <c r="A16" s="8">
        <v>15</v>
      </c>
      <c r="B16" s="8" t="s">
        <v>82</v>
      </c>
      <c r="C16" s="9" t="s">
        <v>44</v>
      </c>
      <c r="D16" s="8" t="s">
        <v>83</v>
      </c>
      <c r="E16" s="8" t="s">
        <v>46</v>
      </c>
      <c r="F16" s="8" t="s">
        <v>65</v>
      </c>
      <c r="G16" s="17" t="s">
        <v>66</v>
      </c>
      <c r="H16" s="8" t="s">
        <v>91</v>
      </c>
      <c r="I16" s="8" t="s">
        <v>92</v>
      </c>
      <c r="J16" s="8" t="s">
        <v>51</v>
      </c>
      <c r="K16" s="8" t="s">
        <v>52</v>
      </c>
      <c r="L16" s="8"/>
      <c r="M16" s="8"/>
      <c r="N16" s="11" t="s">
        <v>53</v>
      </c>
      <c r="O16" s="12" t="s">
        <v>69</v>
      </c>
      <c r="P16" s="15" t="s">
        <v>58</v>
      </c>
      <c r="Q16" s="14" t="s">
        <v>86</v>
      </c>
    </row>
    <row r="17" spans="1:17" ht="27.75" customHeight="1">
      <c r="A17" s="8">
        <v>16</v>
      </c>
      <c r="B17" s="8" t="s">
        <v>93</v>
      </c>
      <c r="C17" s="9" t="s">
        <v>44</v>
      </c>
      <c r="D17" s="8" t="s">
        <v>94</v>
      </c>
      <c r="E17" s="8" t="s">
        <v>46</v>
      </c>
      <c r="F17" s="8" t="s">
        <v>47</v>
      </c>
      <c r="G17" s="10" t="s">
        <v>48</v>
      </c>
      <c r="H17" s="8" t="s">
        <v>95</v>
      </c>
      <c r="I17" s="8" t="s">
        <v>96</v>
      </c>
      <c r="J17" s="8" t="s">
        <v>51</v>
      </c>
      <c r="K17" s="8" t="s">
        <v>52</v>
      </c>
      <c r="L17" s="8"/>
      <c r="M17" s="8"/>
      <c r="N17" s="18" t="s">
        <v>97</v>
      </c>
      <c r="O17" s="12" t="s">
        <v>98</v>
      </c>
      <c r="P17" s="13" t="s">
        <v>99</v>
      </c>
      <c r="Q17" s="14" t="s">
        <v>100</v>
      </c>
    </row>
    <row r="18" spans="1:17" ht="27.75" customHeight="1">
      <c r="A18" s="8">
        <v>17</v>
      </c>
      <c r="B18" s="8" t="s">
        <v>93</v>
      </c>
      <c r="C18" s="9" t="s">
        <v>44</v>
      </c>
      <c r="D18" s="8" t="s">
        <v>94</v>
      </c>
      <c r="E18" s="8" t="s">
        <v>46</v>
      </c>
      <c r="F18" s="8" t="s">
        <v>47</v>
      </c>
      <c r="G18" s="10" t="s">
        <v>48</v>
      </c>
      <c r="H18" s="8" t="s">
        <v>95</v>
      </c>
      <c r="I18" s="8" t="s">
        <v>101</v>
      </c>
      <c r="J18" s="8" t="s">
        <v>51</v>
      </c>
      <c r="K18" s="8" t="s">
        <v>52</v>
      </c>
      <c r="L18" s="8"/>
      <c r="M18" s="8"/>
      <c r="N18" s="11" t="s">
        <v>53</v>
      </c>
      <c r="O18" s="12" t="s">
        <v>54</v>
      </c>
      <c r="P18" s="15" t="s">
        <v>58</v>
      </c>
      <c r="Q18" s="14" t="s">
        <v>100</v>
      </c>
    </row>
    <row r="19" spans="1:17" ht="27.75" customHeight="1">
      <c r="A19" s="8">
        <v>18</v>
      </c>
      <c r="B19" s="8" t="s">
        <v>93</v>
      </c>
      <c r="C19" s="9" t="s">
        <v>44</v>
      </c>
      <c r="D19" s="8" t="s">
        <v>94</v>
      </c>
      <c r="E19" s="8" t="s">
        <v>46</v>
      </c>
      <c r="F19" s="8" t="s">
        <v>59</v>
      </c>
      <c r="G19" s="16" t="s">
        <v>60</v>
      </c>
      <c r="H19" s="8" t="s">
        <v>102</v>
      </c>
      <c r="I19" s="8" t="s">
        <v>103</v>
      </c>
      <c r="J19" s="8" t="s">
        <v>51</v>
      </c>
      <c r="K19" s="8" t="s">
        <v>52</v>
      </c>
      <c r="L19" s="8"/>
      <c r="M19" s="8"/>
      <c r="N19" s="11" t="s">
        <v>53</v>
      </c>
      <c r="O19" s="12" t="s">
        <v>63</v>
      </c>
      <c r="P19" s="15" t="s">
        <v>58</v>
      </c>
      <c r="Q19" s="14" t="s">
        <v>100</v>
      </c>
    </row>
    <row r="20" spans="1:17" ht="27.75" customHeight="1">
      <c r="A20" s="8">
        <v>19</v>
      </c>
      <c r="B20" s="8" t="s">
        <v>93</v>
      </c>
      <c r="C20" s="9" t="s">
        <v>44</v>
      </c>
      <c r="D20" s="8" t="s">
        <v>94</v>
      </c>
      <c r="E20" s="8" t="s">
        <v>46</v>
      </c>
      <c r="F20" s="8" t="s">
        <v>59</v>
      </c>
      <c r="G20" s="16" t="s">
        <v>60</v>
      </c>
      <c r="H20" s="8" t="s">
        <v>102</v>
      </c>
      <c r="I20" s="8" t="s">
        <v>104</v>
      </c>
      <c r="J20" s="8" t="s">
        <v>51</v>
      </c>
      <c r="K20" s="8" t="s">
        <v>52</v>
      </c>
      <c r="L20" s="8"/>
      <c r="M20" s="8"/>
      <c r="N20" s="11" t="s">
        <v>53</v>
      </c>
      <c r="O20" s="12" t="s">
        <v>63</v>
      </c>
      <c r="P20" s="15" t="s">
        <v>58</v>
      </c>
      <c r="Q20" s="14" t="s">
        <v>100</v>
      </c>
    </row>
    <row r="21" spans="1:17" ht="27.75" customHeight="1">
      <c r="A21" s="8">
        <v>20</v>
      </c>
      <c r="B21" s="8" t="s">
        <v>93</v>
      </c>
      <c r="C21" s="9" t="s">
        <v>44</v>
      </c>
      <c r="D21" s="8" t="s">
        <v>94</v>
      </c>
      <c r="E21" s="8" t="s">
        <v>46</v>
      </c>
      <c r="F21" s="8" t="s">
        <v>65</v>
      </c>
      <c r="G21" s="17" t="s">
        <v>66</v>
      </c>
      <c r="H21" s="8" t="s">
        <v>105</v>
      </c>
      <c r="I21" s="8" t="s">
        <v>106</v>
      </c>
      <c r="J21" s="8" t="s">
        <v>51</v>
      </c>
      <c r="K21" s="8" t="s">
        <v>52</v>
      </c>
      <c r="L21" s="8"/>
      <c r="M21" s="8"/>
      <c r="N21" s="11" t="s">
        <v>53</v>
      </c>
      <c r="O21" s="12" t="s">
        <v>69</v>
      </c>
      <c r="P21" s="15" t="s">
        <v>58</v>
      </c>
      <c r="Q21" s="14" t="s">
        <v>100</v>
      </c>
    </row>
    <row r="22" spans="1:17" ht="27.75" customHeight="1">
      <c r="A22" s="8">
        <v>21</v>
      </c>
      <c r="B22" s="8" t="s">
        <v>107</v>
      </c>
      <c r="C22" s="9" t="s">
        <v>44</v>
      </c>
      <c r="D22" s="8" t="s">
        <v>108</v>
      </c>
      <c r="E22" s="8" t="s">
        <v>46</v>
      </c>
      <c r="F22" s="8" t="s">
        <v>47</v>
      </c>
      <c r="G22" s="10" t="s">
        <v>48</v>
      </c>
      <c r="H22" s="8" t="s">
        <v>109</v>
      </c>
      <c r="I22" s="8" t="s">
        <v>110</v>
      </c>
      <c r="J22" s="8" t="s">
        <v>51</v>
      </c>
      <c r="K22" s="8" t="s">
        <v>52</v>
      </c>
      <c r="L22" s="8"/>
      <c r="M22" s="8"/>
      <c r="N22" s="11" t="s">
        <v>53</v>
      </c>
      <c r="O22" s="12" t="s">
        <v>54</v>
      </c>
      <c r="P22" s="15" t="s">
        <v>58</v>
      </c>
      <c r="Q22" s="19" t="s">
        <v>111</v>
      </c>
    </row>
    <row r="23" spans="1:17" ht="27.75" customHeight="1">
      <c r="A23" s="8">
        <v>22</v>
      </c>
      <c r="B23" s="8" t="s">
        <v>107</v>
      </c>
      <c r="C23" s="9" t="s">
        <v>44</v>
      </c>
      <c r="D23" s="8" t="s">
        <v>108</v>
      </c>
      <c r="E23" s="8" t="s">
        <v>46</v>
      </c>
      <c r="F23" s="8" t="s">
        <v>47</v>
      </c>
      <c r="G23" s="10" t="s">
        <v>48</v>
      </c>
      <c r="H23" s="8" t="s">
        <v>109</v>
      </c>
      <c r="I23" s="8" t="s">
        <v>112</v>
      </c>
      <c r="J23" s="8" t="s">
        <v>51</v>
      </c>
      <c r="K23" s="8" t="s">
        <v>52</v>
      </c>
      <c r="L23" s="8"/>
      <c r="M23" s="8"/>
      <c r="N23" s="11" t="s">
        <v>53</v>
      </c>
      <c r="O23" s="12" t="s">
        <v>54</v>
      </c>
      <c r="P23" s="15" t="s">
        <v>58</v>
      </c>
      <c r="Q23" s="19" t="s">
        <v>111</v>
      </c>
    </row>
    <row r="24" spans="1:17" ht="27.75" customHeight="1">
      <c r="A24" s="8">
        <v>23</v>
      </c>
      <c r="B24" s="8" t="s">
        <v>107</v>
      </c>
      <c r="C24" s="9" t="s">
        <v>44</v>
      </c>
      <c r="D24" s="8" t="s">
        <v>108</v>
      </c>
      <c r="E24" s="8" t="s">
        <v>46</v>
      </c>
      <c r="F24" s="8" t="s">
        <v>59</v>
      </c>
      <c r="G24" s="16" t="s">
        <v>60</v>
      </c>
      <c r="H24" s="8" t="s">
        <v>113</v>
      </c>
      <c r="I24" s="8" t="s">
        <v>114</v>
      </c>
      <c r="J24" s="8" t="s">
        <v>51</v>
      </c>
      <c r="K24" s="8" t="s">
        <v>52</v>
      </c>
      <c r="L24" s="8"/>
      <c r="M24" s="8"/>
      <c r="N24" s="11" t="s">
        <v>53</v>
      </c>
      <c r="O24" s="12" t="s">
        <v>63</v>
      </c>
      <c r="P24" s="13" t="s">
        <v>115</v>
      </c>
      <c r="Q24" s="19" t="s">
        <v>111</v>
      </c>
    </row>
    <row r="25" spans="1:17" ht="27.75" customHeight="1">
      <c r="A25" s="8">
        <v>24</v>
      </c>
      <c r="B25" s="8" t="s">
        <v>107</v>
      </c>
      <c r="C25" s="9" t="s">
        <v>44</v>
      </c>
      <c r="D25" s="8" t="s">
        <v>108</v>
      </c>
      <c r="E25" s="8" t="s">
        <v>46</v>
      </c>
      <c r="F25" s="8" t="s">
        <v>59</v>
      </c>
      <c r="G25" s="16" t="s">
        <v>60</v>
      </c>
      <c r="H25" s="8" t="s">
        <v>113</v>
      </c>
      <c r="I25" s="8" t="s">
        <v>116</v>
      </c>
      <c r="J25" s="8" t="s">
        <v>51</v>
      </c>
      <c r="K25" s="8" t="s">
        <v>52</v>
      </c>
      <c r="L25" s="8"/>
      <c r="M25" s="8"/>
      <c r="N25" s="11" t="s">
        <v>53</v>
      </c>
      <c r="O25" s="12" t="s">
        <v>63</v>
      </c>
      <c r="P25" s="15" t="s">
        <v>58</v>
      </c>
      <c r="Q25" s="19" t="s">
        <v>111</v>
      </c>
    </row>
    <row r="26" spans="1:17" ht="27.75" customHeight="1">
      <c r="A26" s="8">
        <v>25</v>
      </c>
      <c r="B26" s="8" t="s">
        <v>107</v>
      </c>
      <c r="C26" s="9" t="s">
        <v>44</v>
      </c>
      <c r="D26" s="8" t="s">
        <v>108</v>
      </c>
      <c r="E26" s="8" t="s">
        <v>46</v>
      </c>
      <c r="F26" s="8" t="s">
        <v>65</v>
      </c>
      <c r="G26" s="17" t="s">
        <v>66</v>
      </c>
      <c r="H26" s="8" t="s">
        <v>117</v>
      </c>
      <c r="I26" s="8" t="s">
        <v>118</v>
      </c>
      <c r="J26" s="8" t="s">
        <v>51</v>
      </c>
      <c r="K26" s="8" t="s">
        <v>52</v>
      </c>
      <c r="L26" s="8"/>
      <c r="M26" s="8"/>
      <c r="N26" s="11" t="s">
        <v>53</v>
      </c>
      <c r="O26" s="12" t="s">
        <v>69</v>
      </c>
      <c r="P26" s="15" t="s">
        <v>58</v>
      </c>
      <c r="Q26" s="19" t="s">
        <v>111</v>
      </c>
    </row>
    <row r="27" spans="1:17" ht="27.75" customHeight="1">
      <c r="A27" s="8">
        <v>26</v>
      </c>
      <c r="B27" s="8" t="s">
        <v>119</v>
      </c>
      <c r="C27" s="9" t="s">
        <v>44</v>
      </c>
      <c r="D27" s="8" t="s">
        <v>120</v>
      </c>
      <c r="E27" s="8" t="s">
        <v>46</v>
      </c>
      <c r="F27" s="8" t="s">
        <v>47</v>
      </c>
      <c r="G27" s="10" t="s">
        <v>48</v>
      </c>
      <c r="H27" s="8" t="s">
        <v>121</v>
      </c>
      <c r="I27" s="8" t="s">
        <v>122</v>
      </c>
      <c r="J27" s="8" t="s">
        <v>51</v>
      </c>
      <c r="K27" s="8" t="s">
        <v>52</v>
      </c>
      <c r="L27" s="8"/>
      <c r="M27" s="8"/>
      <c r="N27" s="11" t="s">
        <v>53</v>
      </c>
      <c r="O27" s="12" t="s">
        <v>54</v>
      </c>
      <c r="P27" s="15" t="s">
        <v>58</v>
      </c>
      <c r="Q27" s="19" t="s">
        <v>123</v>
      </c>
    </row>
    <row r="28" spans="1:17" ht="27.75" customHeight="1">
      <c r="A28" s="8">
        <v>27</v>
      </c>
      <c r="B28" s="8" t="s">
        <v>119</v>
      </c>
      <c r="C28" s="9" t="s">
        <v>44</v>
      </c>
      <c r="D28" s="8" t="s">
        <v>120</v>
      </c>
      <c r="E28" s="8" t="s">
        <v>46</v>
      </c>
      <c r="F28" s="8" t="s">
        <v>47</v>
      </c>
      <c r="G28" s="10" t="s">
        <v>48</v>
      </c>
      <c r="H28" s="8" t="s">
        <v>121</v>
      </c>
      <c r="I28" s="8" t="s">
        <v>124</v>
      </c>
      <c r="J28" s="8" t="s">
        <v>51</v>
      </c>
      <c r="K28" s="8" t="s">
        <v>52</v>
      </c>
      <c r="L28" s="8"/>
      <c r="M28" s="8"/>
      <c r="N28" s="11" t="s">
        <v>53</v>
      </c>
      <c r="O28" s="12" t="s">
        <v>54</v>
      </c>
      <c r="P28" s="15" t="s">
        <v>58</v>
      </c>
      <c r="Q28" s="19" t="s">
        <v>123</v>
      </c>
    </row>
    <row r="29" spans="1:17" ht="27.75" customHeight="1">
      <c r="A29" s="8">
        <v>28</v>
      </c>
      <c r="B29" s="8" t="s">
        <v>119</v>
      </c>
      <c r="C29" s="9" t="s">
        <v>44</v>
      </c>
      <c r="D29" s="8" t="s">
        <v>120</v>
      </c>
      <c r="E29" s="8" t="s">
        <v>46</v>
      </c>
      <c r="F29" s="8" t="s">
        <v>59</v>
      </c>
      <c r="G29" s="16" t="s">
        <v>60</v>
      </c>
      <c r="H29" s="8" t="s">
        <v>125</v>
      </c>
      <c r="I29" s="8" t="s">
        <v>126</v>
      </c>
      <c r="J29" s="8" t="s">
        <v>51</v>
      </c>
      <c r="K29" s="8" t="s">
        <v>52</v>
      </c>
      <c r="L29" s="8"/>
      <c r="M29" s="8"/>
      <c r="N29" s="11" t="s">
        <v>53</v>
      </c>
      <c r="O29" s="12" t="s">
        <v>63</v>
      </c>
      <c r="P29" s="15" t="s">
        <v>58</v>
      </c>
      <c r="Q29" s="19" t="s">
        <v>123</v>
      </c>
    </row>
    <row r="30" spans="1:17" ht="27.75" customHeight="1">
      <c r="A30" s="8">
        <v>29</v>
      </c>
      <c r="B30" s="8" t="s">
        <v>119</v>
      </c>
      <c r="C30" s="9" t="s">
        <v>44</v>
      </c>
      <c r="D30" s="8" t="s">
        <v>120</v>
      </c>
      <c r="E30" s="8" t="s">
        <v>46</v>
      </c>
      <c r="F30" s="8" t="s">
        <v>59</v>
      </c>
      <c r="G30" s="16" t="s">
        <v>60</v>
      </c>
      <c r="H30" s="8" t="s">
        <v>125</v>
      </c>
      <c r="I30" s="8" t="s">
        <v>127</v>
      </c>
      <c r="J30" s="8" t="s">
        <v>51</v>
      </c>
      <c r="K30" s="8" t="s">
        <v>52</v>
      </c>
      <c r="L30" s="8"/>
      <c r="M30" s="8"/>
      <c r="N30" s="11" t="s">
        <v>53</v>
      </c>
      <c r="O30" s="12" t="s">
        <v>63</v>
      </c>
      <c r="P30" s="13" t="s">
        <v>128</v>
      </c>
      <c r="Q30" s="19" t="s">
        <v>123</v>
      </c>
    </row>
    <row r="31" spans="1:17" ht="27.75" customHeight="1">
      <c r="A31" s="8">
        <v>30</v>
      </c>
      <c r="B31" s="8" t="s">
        <v>119</v>
      </c>
      <c r="C31" s="9" t="s">
        <v>44</v>
      </c>
      <c r="D31" s="8" t="s">
        <v>120</v>
      </c>
      <c r="E31" s="8" t="s">
        <v>46</v>
      </c>
      <c r="F31" s="8" t="s">
        <v>65</v>
      </c>
      <c r="G31" s="17" t="s">
        <v>66</v>
      </c>
      <c r="H31" s="8" t="s">
        <v>129</v>
      </c>
      <c r="I31" s="8" t="s">
        <v>130</v>
      </c>
      <c r="J31" s="8" t="s">
        <v>51</v>
      </c>
      <c r="K31" s="8" t="s">
        <v>52</v>
      </c>
      <c r="L31" s="8"/>
      <c r="M31" s="8"/>
      <c r="N31" s="11" t="s">
        <v>53</v>
      </c>
      <c r="O31" s="12" t="s">
        <v>69</v>
      </c>
      <c r="P31" s="15" t="s">
        <v>58</v>
      </c>
      <c r="Q31" s="19" t="s">
        <v>123</v>
      </c>
    </row>
    <row r="32" spans="1:17" ht="27.75" customHeight="1">
      <c r="A32" s="8">
        <v>31</v>
      </c>
      <c r="B32" s="8" t="s">
        <v>131</v>
      </c>
      <c r="C32" s="9" t="s">
        <v>44</v>
      </c>
      <c r="D32" s="8" t="s">
        <v>132</v>
      </c>
      <c r="E32" s="8" t="s">
        <v>46</v>
      </c>
      <c r="F32" s="8" t="s">
        <v>47</v>
      </c>
      <c r="G32" s="10" t="s">
        <v>48</v>
      </c>
      <c r="H32" s="8" t="s">
        <v>133</v>
      </c>
      <c r="I32" s="8" t="s">
        <v>134</v>
      </c>
      <c r="J32" s="8" t="s">
        <v>51</v>
      </c>
      <c r="K32" s="8" t="s">
        <v>52</v>
      </c>
      <c r="L32" s="8"/>
      <c r="M32" s="8"/>
      <c r="N32" s="11" t="s">
        <v>135</v>
      </c>
      <c r="O32" s="12" t="s">
        <v>136</v>
      </c>
      <c r="P32" s="15" t="s">
        <v>137</v>
      </c>
      <c r="Q32" s="20" t="s">
        <v>138</v>
      </c>
    </row>
    <row r="33" spans="1:17" ht="27.75" customHeight="1">
      <c r="A33" s="8">
        <v>32</v>
      </c>
      <c r="B33" s="8" t="s">
        <v>131</v>
      </c>
      <c r="C33" s="9" t="s">
        <v>44</v>
      </c>
      <c r="D33" s="8" t="s">
        <v>132</v>
      </c>
      <c r="E33" s="8" t="s">
        <v>46</v>
      </c>
      <c r="F33" s="8" t="s">
        <v>47</v>
      </c>
      <c r="G33" s="10" t="s">
        <v>48</v>
      </c>
      <c r="H33" s="8" t="s">
        <v>133</v>
      </c>
      <c r="I33" s="8" t="s">
        <v>139</v>
      </c>
      <c r="J33" s="8" t="s">
        <v>51</v>
      </c>
      <c r="K33" s="8" t="s">
        <v>52</v>
      </c>
      <c r="L33" s="8"/>
      <c r="M33" s="8"/>
      <c r="N33" s="11" t="s">
        <v>53</v>
      </c>
      <c r="O33" s="12" t="s">
        <v>54</v>
      </c>
      <c r="P33" s="15" t="s">
        <v>58</v>
      </c>
      <c r="Q33" s="20" t="s">
        <v>138</v>
      </c>
    </row>
    <row r="34" spans="1:17" ht="27.75" customHeight="1">
      <c r="A34" s="8">
        <v>33</v>
      </c>
      <c r="B34" s="8" t="s">
        <v>131</v>
      </c>
      <c r="C34" s="9" t="s">
        <v>44</v>
      </c>
      <c r="D34" s="8" t="s">
        <v>132</v>
      </c>
      <c r="E34" s="8" t="s">
        <v>46</v>
      </c>
      <c r="F34" s="8" t="s">
        <v>59</v>
      </c>
      <c r="G34" s="16" t="s">
        <v>60</v>
      </c>
      <c r="H34" s="8" t="s">
        <v>140</v>
      </c>
      <c r="I34" s="8" t="s">
        <v>141</v>
      </c>
      <c r="J34" s="8" t="s">
        <v>51</v>
      </c>
      <c r="K34" s="8" t="s">
        <v>52</v>
      </c>
      <c r="L34" s="8"/>
      <c r="M34" s="8"/>
      <c r="N34" s="11" t="s">
        <v>53</v>
      </c>
      <c r="O34" s="12" t="s">
        <v>63</v>
      </c>
      <c r="P34" s="15" t="s">
        <v>58</v>
      </c>
      <c r="Q34" s="20" t="s">
        <v>138</v>
      </c>
    </row>
    <row r="35" spans="1:17" ht="27.75" customHeight="1">
      <c r="A35" s="8">
        <v>34</v>
      </c>
      <c r="B35" s="8" t="s">
        <v>131</v>
      </c>
      <c r="C35" s="9" t="s">
        <v>44</v>
      </c>
      <c r="D35" s="8" t="s">
        <v>132</v>
      </c>
      <c r="E35" s="8" t="s">
        <v>46</v>
      </c>
      <c r="F35" s="8" t="s">
        <v>59</v>
      </c>
      <c r="G35" s="16" t="s">
        <v>60</v>
      </c>
      <c r="H35" s="8" t="s">
        <v>140</v>
      </c>
      <c r="I35" s="8" t="s">
        <v>142</v>
      </c>
      <c r="J35" s="8" t="s">
        <v>51</v>
      </c>
      <c r="K35" s="8" t="s">
        <v>52</v>
      </c>
      <c r="L35" s="8"/>
      <c r="M35" s="8"/>
      <c r="N35" s="11" t="s">
        <v>53</v>
      </c>
      <c r="O35" s="12" t="s">
        <v>63</v>
      </c>
      <c r="P35" s="15" t="s">
        <v>58</v>
      </c>
      <c r="Q35" s="20" t="s">
        <v>138</v>
      </c>
    </row>
    <row r="36" spans="1:17" ht="27.75" customHeight="1">
      <c r="A36" s="8">
        <v>35</v>
      </c>
      <c r="B36" s="8" t="s">
        <v>131</v>
      </c>
      <c r="C36" s="9" t="s">
        <v>44</v>
      </c>
      <c r="D36" s="8" t="s">
        <v>132</v>
      </c>
      <c r="E36" s="8" t="s">
        <v>46</v>
      </c>
      <c r="F36" s="8" t="s">
        <v>65</v>
      </c>
      <c r="G36" s="17" t="s">
        <v>66</v>
      </c>
      <c r="H36" s="8" t="s">
        <v>143</v>
      </c>
      <c r="I36" s="8" t="s">
        <v>144</v>
      </c>
      <c r="J36" s="8" t="s">
        <v>51</v>
      </c>
      <c r="K36" s="8" t="s">
        <v>52</v>
      </c>
      <c r="L36" s="8"/>
      <c r="M36" s="8"/>
      <c r="N36" s="11" t="s">
        <v>53</v>
      </c>
      <c r="O36" s="12" t="s">
        <v>69</v>
      </c>
      <c r="P36" s="15" t="s">
        <v>58</v>
      </c>
      <c r="Q36" s="20" t="s">
        <v>138</v>
      </c>
    </row>
    <row r="37" spans="1:17" ht="42" customHeight="1">
      <c r="A37" s="8">
        <v>36</v>
      </c>
      <c r="B37" s="8" t="s">
        <v>145</v>
      </c>
      <c r="C37" s="9" t="s">
        <v>44</v>
      </c>
      <c r="D37" s="8" t="s">
        <v>146</v>
      </c>
      <c r="E37" s="8" t="s">
        <v>46</v>
      </c>
      <c r="F37" s="8" t="s">
        <v>47</v>
      </c>
      <c r="G37" s="10" t="s">
        <v>48</v>
      </c>
      <c r="H37" s="8" t="s">
        <v>147</v>
      </c>
      <c r="I37" s="8" t="s">
        <v>148</v>
      </c>
      <c r="J37" s="8" t="s">
        <v>51</v>
      </c>
      <c r="K37" s="8" t="s">
        <v>52</v>
      </c>
      <c r="L37" s="8"/>
      <c r="M37" s="8"/>
      <c r="N37" s="11" t="s">
        <v>135</v>
      </c>
      <c r="O37" s="12" t="s">
        <v>149</v>
      </c>
      <c r="P37" s="15" t="s">
        <v>150</v>
      </c>
      <c r="Q37" s="20" t="s">
        <v>151</v>
      </c>
    </row>
    <row r="38" spans="1:17" ht="42" customHeight="1">
      <c r="A38" s="8">
        <v>37</v>
      </c>
      <c r="B38" s="8" t="s">
        <v>145</v>
      </c>
      <c r="C38" s="9" t="s">
        <v>44</v>
      </c>
      <c r="D38" s="8" t="s">
        <v>146</v>
      </c>
      <c r="E38" s="8" t="s">
        <v>46</v>
      </c>
      <c r="F38" s="8" t="s">
        <v>47</v>
      </c>
      <c r="G38" s="10" t="s">
        <v>48</v>
      </c>
      <c r="H38" s="8" t="s">
        <v>147</v>
      </c>
      <c r="I38" s="8" t="s">
        <v>152</v>
      </c>
      <c r="J38" s="8" t="s">
        <v>51</v>
      </c>
      <c r="K38" s="8" t="s">
        <v>52</v>
      </c>
      <c r="L38" s="8"/>
      <c r="M38" s="8"/>
      <c r="N38" s="11" t="s">
        <v>53</v>
      </c>
      <c r="O38" s="12" t="s">
        <v>54</v>
      </c>
      <c r="P38" s="15" t="s">
        <v>58</v>
      </c>
      <c r="Q38" s="20" t="s">
        <v>151</v>
      </c>
    </row>
    <row r="39" spans="1:17" ht="42" customHeight="1">
      <c r="A39" s="8">
        <v>38</v>
      </c>
      <c r="B39" s="8" t="s">
        <v>145</v>
      </c>
      <c r="C39" s="9" t="s">
        <v>44</v>
      </c>
      <c r="D39" s="8" t="s">
        <v>146</v>
      </c>
      <c r="E39" s="8" t="s">
        <v>46</v>
      </c>
      <c r="F39" s="8" t="s">
        <v>59</v>
      </c>
      <c r="G39" s="16" t="s">
        <v>60</v>
      </c>
      <c r="H39" s="8" t="s">
        <v>153</v>
      </c>
      <c r="I39" s="8" t="s">
        <v>154</v>
      </c>
      <c r="J39" s="8" t="s">
        <v>51</v>
      </c>
      <c r="K39" s="8" t="s">
        <v>52</v>
      </c>
      <c r="L39" s="8"/>
      <c r="M39" s="8"/>
      <c r="N39" s="11" t="s">
        <v>53</v>
      </c>
      <c r="O39" s="12" t="s">
        <v>63</v>
      </c>
      <c r="P39" s="15" t="s">
        <v>58</v>
      </c>
      <c r="Q39" s="20" t="s">
        <v>151</v>
      </c>
    </row>
    <row r="40" spans="1:17" ht="42" customHeight="1">
      <c r="A40" s="8">
        <v>39</v>
      </c>
      <c r="B40" s="8" t="s">
        <v>145</v>
      </c>
      <c r="C40" s="9" t="s">
        <v>44</v>
      </c>
      <c r="D40" s="8" t="s">
        <v>146</v>
      </c>
      <c r="E40" s="8" t="s">
        <v>46</v>
      </c>
      <c r="F40" s="8" t="s">
        <v>59</v>
      </c>
      <c r="G40" s="16" t="s">
        <v>60</v>
      </c>
      <c r="H40" s="8" t="s">
        <v>153</v>
      </c>
      <c r="I40" s="8" t="s">
        <v>155</v>
      </c>
      <c r="J40" s="8" t="s">
        <v>51</v>
      </c>
      <c r="K40" s="8" t="s">
        <v>52</v>
      </c>
      <c r="L40" s="8"/>
      <c r="M40" s="8"/>
      <c r="N40" s="11" t="s">
        <v>53</v>
      </c>
      <c r="O40" s="12" t="s">
        <v>63</v>
      </c>
      <c r="P40" s="13" t="s">
        <v>156</v>
      </c>
      <c r="Q40" s="20" t="s">
        <v>151</v>
      </c>
    </row>
    <row r="41" spans="1:17" ht="42" customHeight="1">
      <c r="A41" s="8">
        <v>40</v>
      </c>
      <c r="B41" s="8" t="s">
        <v>145</v>
      </c>
      <c r="C41" s="9" t="s">
        <v>44</v>
      </c>
      <c r="D41" s="8" t="s">
        <v>146</v>
      </c>
      <c r="E41" s="8" t="s">
        <v>46</v>
      </c>
      <c r="F41" s="8" t="s">
        <v>65</v>
      </c>
      <c r="G41" s="17" t="s">
        <v>66</v>
      </c>
      <c r="H41" s="8" t="s">
        <v>157</v>
      </c>
      <c r="I41" s="8" t="s">
        <v>158</v>
      </c>
      <c r="J41" s="8" t="s">
        <v>51</v>
      </c>
      <c r="K41" s="8" t="s">
        <v>52</v>
      </c>
      <c r="L41" s="8"/>
      <c r="M41" s="8"/>
      <c r="N41" s="11" t="s">
        <v>53</v>
      </c>
      <c r="O41" s="12" t="s">
        <v>69</v>
      </c>
      <c r="P41" s="15" t="s">
        <v>58</v>
      </c>
      <c r="Q41" s="20" t="s">
        <v>151</v>
      </c>
    </row>
    <row r="42" spans="1:17" ht="27.75" customHeight="1">
      <c r="A42" s="8">
        <v>41</v>
      </c>
      <c r="B42" s="8" t="s">
        <v>159</v>
      </c>
      <c r="C42" s="9" t="s">
        <v>44</v>
      </c>
      <c r="D42" s="8" t="s">
        <v>160</v>
      </c>
      <c r="E42" s="8" t="s">
        <v>46</v>
      </c>
      <c r="F42" s="8" t="s">
        <v>47</v>
      </c>
      <c r="G42" s="10" t="s">
        <v>48</v>
      </c>
      <c r="H42" s="8" t="s">
        <v>161</v>
      </c>
      <c r="I42" s="8" t="s">
        <v>162</v>
      </c>
      <c r="J42" s="8" t="s">
        <v>51</v>
      </c>
      <c r="K42" s="8" t="s">
        <v>52</v>
      </c>
      <c r="L42" s="8"/>
      <c r="M42" s="8"/>
      <c r="N42" s="11" t="s">
        <v>53</v>
      </c>
      <c r="O42" s="12" t="s">
        <v>54</v>
      </c>
      <c r="P42" s="15" t="s">
        <v>58</v>
      </c>
      <c r="Q42" s="19" t="s">
        <v>163</v>
      </c>
    </row>
    <row r="43" spans="1:17" ht="27.75" customHeight="1">
      <c r="A43" s="8">
        <v>42</v>
      </c>
      <c r="B43" s="8" t="s">
        <v>159</v>
      </c>
      <c r="C43" s="9" t="s">
        <v>44</v>
      </c>
      <c r="D43" s="8" t="s">
        <v>160</v>
      </c>
      <c r="E43" s="8" t="s">
        <v>46</v>
      </c>
      <c r="F43" s="8" t="s">
        <v>47</v>
      </c>
      <c r="G43" s="10" t="s">
        <v>48</v>
      </c>
      <c r="H43" s="8" t="s">
        <v>161</v>
      </c>
      <c r="I43" s="8" t="s">
        <v>164</v>
      </c>
      <c r="J43" s="8" t="s">
        <v>51</v>
      </c>
      <c r="K43" s="8" t="s">
        <v>52</v>
      </c>
      <c r="L43" s="8"/>
      <c r="M43" s="8"/>
      <c r="N43" s="11" t="s">
        <v>53</v>
      </c>
      <c r="O43" s="12" t="s">
        <v>54</v>
      </c>
      <c r="P43" s="15" t="s">
        <v>58</v>
      </c>
      <c r="Q43" s="19" t="s">
        <v>163</v>
      </c>
    </row>
    <row r="44" spans="1:17" ht="27.75" customHeight="1">
      <c r="A44" s="8">
        <v>43</v>
      </c>
      <c r="B44" s="8" t="s">
        <v>159</v>
      </c>
      <c r="C44" s="9" t="s">
        <v>44</v>
      </c>
      <c r="D44" s="8" t="s">
        <v>160</v>
      </c>
      <c r="E44" s="8" t="s">
        <v>46</v>
      </c>
      <c r="F44" s="8" t="s">
        <v>59</v>
      </c>
      <c r="G44" s="16" t="s">
        <v>60</v>
      </c>
      <c r="H44" s="8" t="s">
        <v>165</v>
      </c>
      <c r="I44" s="8" t="s">
        <v>166</v>
      </c>
      <c r="J44" s="8" t="s">
        <v>51</v>
      </c>
      <c r="K44" s="8" t="s">
        <v>52</v>
      </c>
      <c r="L44" s="8"/>
      <c r="M44" s="8"/>
      <c r="N44" s="11" t="s">
        <v>53</v>
      </c>
      <c r="O44" s="12" t="s">
        <v>63</v>
      </c>
      <c r="P44" s="15" t="s">
        <v>58</v>
      </c>
      <c r="Q44" s="19" t="s">
        <v>163</v>
      </c>
    </row>
    <row r="45" spans="1:17" ht="27.75" customHeight="1">
      <c r="A45" s="8">
        <v>44</v>
      </c>
      <c r="B45" s="8" t="s">
        <v>159</v>
      </c>
      <c r="C45" s="9" t="s">
        <v>44</v>
      </c>
      <c r="D45" s="8" t="s">
        <v>160</v>
      </c>
      <c r="E45" s="8" t="s">
        <v>46</v>
      </c>
      <c r="F45" s="8" t="s">
        <v>59</v>
      </c>
      <c r="G45" s="16" t="s">
        <v>60</v>
      </c>
      <c r="H45" s="8" t="s">
        <v>165</v>
      </c>
      <c r="I45" s="8" t="s">
        <v>167</v>
      </c>
      <c r="J45" s="8" t="s">
        <v>51</v>
      </c>
      <c r="K45" s="8" t="s">
        <v>52</v>
      </c>
      <c r="L45" s="8"/>
      <c r="M45" s="8"/>
      <c r="N45" s="11" t="s">
        <v>53</v>
      </c>
      <c r="O45" s="12" t="s">
        <v>63</v>
      </c>
      <c r="P45" s="15" t="s">
        <v>58</v>
      </c>
      <c r="Q45" s="19" t="s">
        <v>163</v>
      </c>
    </row>
    <row r="46" spans="1:17" ht="27.75" customHeight="1">
      <c r="A46" s="8">
        <v>45</v>
      </c>
      <c r="B46" s="8" t="s">
        <v>159</v>
      </c>
      <c r="C46" s="9" t="s">
        <v>44</v>
      </c>
      <c r="D46" s="8" t="s">
        <v>160</v>
      </c>
      <c r="E46" s="8" t="s">
        <v>46</v>
      </c>
      <c r="F46" s="8" t="s">
        <v>65</v>
      </c>
      <c r="G46" s="17" t="s">
        <v>66</v>
      </c>
      <c r="H46" s="8" t="s">
        <v>168</v>
      </c>
      <c r="I46" s="8" t="s">
        <v>169</v>
      </c>
      <c r="J46" s="8" t="s">
        <v>51</v>
      </c>
      <c r="K46" s="8" t="s">
        <v>52</v>
      </c>
      <c r="L46" s="8"/>
      <c r="M46" s="8"/>
      <c r="N46" s="11" t="s">
        <v>53</v>
      </c>
      <c r="O46" s="12" t="s">
        <v>69</v>
      </c>
      <c r="P46" s="15" t="s">
        <v>58</v>
      </c>
      <c r="Q46" s="19" t="s">
        <v>163</v>
      </c>
    </row>
    <row r="47" spans="1:17" ht="27.75" customHeight="1">
      <c r="A47" s="8">
        <v>46</v>
      </c>
      <c r="B47" s="8" t="s">
        <v>170</v>
      </c>
      <c r="C47" s="9" t="s">
        <v>44</v>
      </c>
      <c r="D47" s="8" t="s">
        <v>171</v>
      </c>
      <c r="E47" s="8" t="s">
        <v>46</v>
      </c>
      <c r="F47" s="8" t="s">
        <v>47</v>
      </c>
      <c r="G47" s="10" t="s">
        <v>48</v>
      </c>
      <c r="H47" s="8" t="s">
        <v>172</v>
      </c>
      <c r="I47" s="8" t="s">
        <v>173</v>
      </c>
      <c r="J47" s="8" t="s">
        <v>51</v>
      </c>
      <c r="K47" s="8" t="s">
        <v>52</v>
      </c>
      <c r="L47" s="8"/>
      <c r="M47" s="8"/>
      <c r="N47" s="18" t="s">
        <v>174</v>
      </c>
      <c r="O47" s="12" t="s">
        <v>175</v>
      </c>
      <c r="P47" s="15" t="s">
        <v>58</v>
      </c>
      <c r="Q47" s="19" t="s">
        <v>176</v>
      </c>
    </row>
    <row r="48" spans="1:17" ht="27.75" customHeight="1">
      <c r="A48" s="8">
        <v>47</v>
      </c>
      <c r="B48" s="8" t="s">
        <v>170</v>
      </c>
      <c r="C48" s="9" t="s">
        <v>44</v>
      </c>
      <c r="D48" s="8" t="s">
        <v>171</v>
      </c>
      <c r="E48" s="8" t="s">
        <v>46</v>
      </c>
      <c r="F48" s="8" t="s">
        <v>47</v>
      </c>
      <c r="G48" s="10" t="s">
        <v>48</v>
      </c>
      <c r="H48" s="8" t="s">
        <v>172</v>
      </c>
      <c r="I48" s="8" t="s">
        <v>177</v>
      </c>
      <c r="J48" s="8" t="s">
        <v>51</v>
      </c>
      <c r="K48" s="8" t="s">
        <v>52</v>
      </c>
      <c r="L48" s="8"/>
      <c r="M48" s="8"/>
      <c r="N48" s="11" t="s">
        <v>53</v>
      </c>
      <c r="O48" s="12" t="s">
        <v>54</v>
      </c>
      <c r="P48" s="15" t="s">
        <v>58</v>
      </c>
      <c r="Q48" s="19" t="s">
        <v>176</v>
      </c>
    </row>
    <row r="49" spans="1:17" ht="27.75" customHeight="1">
      <c r="A49" s="8">
        <v>48</v>
      </c>
      <c r="B49" s="8" t="s">
        <v>170</v>
      </c>
      <c r="C49" s="9" t="s">
        <v>44</v>
      </c>
      <c r="D49" s="8" t="s">
        <v>171</v>
      </c>
      <c r="E49" s="8" t="s">
        <v>46</v>
      </c>
      <c r="F49" s="8" t="s">
        <v>59</v>
      </c>
      <c r="G49" s="16" t="s">
        <v>60</v>
      </c>
      <c r="H49" s="8" t="s">
        <v>178</v>
      </c>
      <c r="I49" s="8" t="s">
        <v>179</v>
      </c>
      <c r="J49" s="8" t="s">
        <v>51</v>
      </c>
      <c r="K49" s="8" t="s">
        <v>52</v>
      </c>
      <c r="L49" s="8"/>
      <c r="M49" s="8"/>
      <c r="N49" s="11" t="s">
        <v>53</v>
      </c>
      <c r="O49" s="12" t="s">
        <v>63</v>
      </c>
      <c r="P49" s="15" t="s">
        <v>58</v>
      </c>
      <c r="Q49" s="19" t="s">
        <v>176</v>
      </c>
    </row>
    <row r="50" spans="1:17" ht="27.75" customHeight="1">
      <c r="A50" s="8">
        <v>49</v>
      </c>
      <c r="B50" s="8" t="s">
        <v>170</v>
      </c>
      <c r="C50" s="9" t="s">
        <v>44</v>
      </c>
      <c r="D50" s="8" t="s">
        <v>171</v>
      </c>
      <c r="E50" s="8" t="s">
        <v>46</v>
      </c>
      <c r="F50" s="8" t="s">
        <v>59</v>
      </c>
      <c r="G50" s="16" t="s">
        <v>60</v>
      </c>
      <c r="H50" s="8" t="s">
        <v>178</v>
      </c>
      <c r="I50" s="8" t="s">
        <v>180</v>
      </c>
      <c r="J50" s="8" t="s">
        <v>51</v>
      </c>
      <c r="K50" s="8" t="s">
        <v>52</v>
      </c>
      <c r="L50" s="8"/>
      <c r="M50" s="8"/>
      <c r="N50" s="11" t="s">
        <v>53</v>
      </c>
      <c r="O50" s="12" t="s">
        <v>63</v>
      </c>
      <c r="P50" s="15" t="s">
        <v>58</v>
      </c>
      <c r="Q50" s="19" t="s">
        <v>176</v>
      </c>
    </row>
    <row r="51" spans="1:17" ht="27.75" customHeight="1">
      <c r="A51" s="8">
        <v>50</v>
      </c>
      <c r="B51" s="8" t="s">
        <v>170</v>
      </c>
      <c r="C51" s="9" t="s">
        <v>44</v>
      </c>
      <c r="D51" s="8" t="s">
        <v>171</v>
      </c>
      <c r="E51" s="8" t="s">
        <v>46</v>
      </c>
      <c r="F51" s="8" t="s">
        <v>65</v>
      </c>
      <c r="G51" s="17" t="s">
        <v>66</v>
      </c>
      <c r="H51" s="8" t="s">
        <v>181</v>
      </c>
      <c r="I51" s="8" t="s">
        <v>182</v>
      </c>
      <c r="J51" s="8" t="s">
        <v>51</v>
      </c>
      <c r="K51" s="8" t="s">
        <v>52</v>
      </c>
      <c r="L51" s="8"/>
      <c r="M51" s="8"/>
      <c r="N51" s="11" t="s">
        <v>53</v>
      </c>
      <c r="O51" s="12" t="s">
        <v>69</v>
      </c>
      <c r="P51" s="15" t="s">
        <v>58</v>
      </c>
      <c r="Q51" s="19" t="s">
        <v>176</v>
      </c>
    </row>
    <row r="52" spans="1:17" ht="27.75" customHeight="1">
      <c r="A52" s="8">
        <v>51</v>
      </c>
      <c r="B52" s="8" t="s">
        <v>183</v>
      </c>
      <c r="C52" s="17" t="s">
        <v>184</v>
      </c>
      <c r="D52" s="8" t="s">
        <v>185</v>
      </c>
      <c r="E52" s="8" t="s">
        <v>46</v>
      </c>
      <c r="F52" s="8" t="s">
        <v>47</v>
      </c>
      <c r="G52" s="10" t="s">
        <v>48</v>
      </c>
      <c r="H52" s="8" t="s">
        <v>186</v>
      </c>
      <c r="I52" s="8" t="s">
        <v>187</v>
      </c>
      <c r="J52" s="8" t="s">
        <v>188</v>
      </c>
      <c r="K52" s="8" t="s">
        <v>52</v>
      </c>
      <c r="L52" s="8"/>
      <c r="M52" s="8"/>
      <c r="N52" s="11" t="s">
        <v>53</v>
      </c>
      <c r="O52" s="12" t="s">
        <v>54</v>
      </c>
      <c r="P52" s="15" t="s">
        <v>58</v>
      </c>
      <c r="Q52" s="21" t="s">
        <v>189</v>
      </c>
    </row>
    <row r="53" spans="1:17" ht="27.75" customHeight="1">
      <c r="A53" s="8">
        <v>52</v>
      </c>
      <c r="B53" s="8" t="s">
        <v>183</v>
      </c>
      <c r="C53" s="17" t="s">
        <v>184</v>
      </c>
      <c r="D53" s="8" t="s">
        <v>185</v>
      </c>
      <c r="E53" s="8" t="s">
        <v>46</v>
      </c>
      <c r="F53" s="8" t="s">
        <v>47</v>
      </c>
      <c r="G53" s="10" t="s">
        <v>48</v>
      </c>
      <c r="H53" s="8" t="s">
        <v>186</v>
      </c>
      <c r="I53" s="8" t="s">
        <v>190</v>
      </c>
      <c r="J53" s="8" t="s">
        <v>188</v>
      </c>
      <c r="K53" s="8" t="s">
        <v>52</v>
      </c>
      <c r="L53" s="8"/>
      <c r="M53" s="8"/>
      <c r="N53" s="11" t="s">
        <v>53</v>
      </c>
      <c r="O53" s="12" t="s">
        <v>54</v>
      </c>
      <c r="P53" s="15" t="s">
        <v>58</v>
      </c>
      <c r="Q53" s="21" t="s">
        <v>189</v>
      </c>
    </row>
    <row r="54" spans="1:17" ht="27.75" customHeight="1">
      <c r="A54" s="8">
        <v>53</v>
      </c>
      <c r="B54" s="8" t="s">
        <v>183</v>
      </c>
      <c r="C54" s="17" t="s">
        <v>184</v>
      </c>
      <c r="D54" s="8" t="s">
        <v>185</v>
      </c>
      <c r="E54" s="8" t="s">
        <v>46</v>
      </c>
      <c r="F54" s="8" t="s">
        <v>59</v>
      </c>
      <c r="G54" s="16" t="s">
        <v>60</v>
      </c>
      <c r="H54" s="8" t="s">
        <v>191</v>
      </c>
      <c r="I54" s="8" t="s">
        <v>192</v>
      </c>
      <c r="J54" s="8" t="s">
        <v>188</v>
      </c>
      <c r="K54" s="8" t="s">
        <v>52</v>
      </c>
      <c r="L54" s="8"/>
      <c r="M54" s="8"/>
      <c r="N54" s="11" t="s">
        <v>53</v>
      </c>
      <c r="O54" s="12" t="s">
        <v>63</v>
      </c>
      <c r="P54" s="15" t="s">
        <v>58</v>
      </c>
      <c r="Q54" s="21" t="s">
        <v>189</v>
      </c>
    </row>
    <row r="55" spans="1:17" ht="27.75" customHeight="1">
      <c r="A55" s="8">
        <v>54</v>
      </c>
      <c r="B55" s="8" t="s">
        <v>183</v>
      </c>
      <c r="C55" s="17" t="s">
        <v>184</v>
      </c>
      <c r="D55" s="8" t="s">
        <v>185</v>
      </c>
      <c r="E55" s="8" t="s">
        <v>46</v>
      </c>
      <c r="F55" s="8" t="s">
        <v>59</v>
      </c>
      <c r="G55" s="16" t="s">
        <v>60</v>
      </c>
      <c r="H55" s="8" t="s">
        <v>191</v>
      </c>
      <c r="I55" s="8" t="s">
        <v>193</v>
      </c>
      <c r="J55" s="8" t="s">
        <v>188</v>
      </c>
      <c r="K55" s="8" t="s">
        <v>52</v>
      </c>
      <c r="L55" s="8"/>
      <c r="M55" s="8"/>
      <c r="N55" s="18" t="s">
        <v>194</v>
      </c>
      <c r="O55" s="12" t="s">
        <v>195</v>
      </c>
      <c r="P55" s="15" t="s">
        <v>58</v>
      </c>
      <c r="Q55" s="14" t="s">
        <v>196</v>
      </c>
    </row>
    <row r="56" spans="1:17" ht="27.75" customHeight="1">
      <c r="A56" s="8">
        <v>55</v>
      </c>
      <c r="B56" s="8" t="s">
        <v>183</v>
      </c>
      <c r="C56" s="17" t="s">
        <v>184</v>
      </c>
      <c r="D56" s="8" t="s">
        <v>185</v>
      </c>
      <c r="E56" s="8" t="s">
        <v>46</v>
      </c>
      <c r="F56" s="8" t="s">
        <v>65</v>
      </c>
      <c r="G56" s="17" t="s">
        <v>66</v>
      </c>
      <c r="H56" s="8" t="s">
        <v>197</v>
      </c>
      <c r="I56" s="8" t="s">
        <v>198</v>
      </c>
      <c r="J56" s="8" t="s">
        <v>188</v>
      </c>
      <c r="K56" s="8" t="s">
        <v>52</v>
      </c>
      <c r="L56" s="8"/>
      <c r="M56" s="8"/>
      <c r="N56" s="18" t="s">
        <v>194</v>
      </c>
      <c r="O56" s="12" t="s">
        <v>199</v>
      </c>
      <c r="P56" s="15" t="s">
        <v>58</v>
      </c>
      <c r="Q56" s="21" t="s">
        <v>200</v>
      </c>
    </row>
    <row r="57" spans="1:17" ht="27.75" customHeight="1">
      <c r="A57" s="8">
        <v>56</v>
      </c>
      <c r="B57" s="8" t="s">
        <v>183</v>
      </c>
      <c r="C57" s="17" t="s">
        <v>184</v>
      </c>
      <c r="D57" s="8" t="s">
        <v>185</v>
      </c>
      <c r="E57" s="8" t="s">
        <v>46</v>
      </c>
      <c r="F57" s="8" t="s">
        <v>65</v>
      </c>
      <c r="G57" s="17" t="s">
        <v>66</v>
      </c>
      <c r="H57" s="8" t="s">
        <v>197</v>
      </c>
      <c r="I57" s="8" t="s">
        <v>201</v>
      </c>
      <c r="J57" s="8" t="s">
        <v>188</v>
      </c>
      <c r="K57" s="8" t="s">
        <v>52</v>
      </c>
      <c r="L57" s="8"/>
      <c r="M57" s="8"/>
      <c r="N57" s="11" t="s">
        <v>53</v>
      </c>
      <c r="O57" s="12" t="s">
        <v>69</v>
      </c>
      <c r="P57" s="13" t="s">
        <v>202</v>
      </c>
      <c r="Q57" s="21" t="s">
        <v>189</v>
      </c>
    </row>
    <row r="58" spans="1:17" ht="27.75" customHeight="1">
      <c r="A58" s="8">
        <v>57</v>
      </c>
      <c r="B58" s="8" t="s">
        <v>203</v>
      </c>
      <c r="C58" s="17" t="s">
        <v>184</v>
      </c>
      <c r="D58" s="8" t="s">
        <v>204</v>
      </c>
      <c r="E58" s="8" t="s">
        <v>46</v>
      </c>
      <c r="F58" s="8" t="s">
        <v>47</v>
      </c>
      <c r="G58" s="10" t="s">
        <v>48</v>
      </c>
      <c r="H58" s="8" t="s">
        <v>205</v>
      </c>
      <c r="I58" s="8" t="s">
        <v>206</v>
      </c>
      <c r="J58" s="8" t="s">
        <v>207</v>
      </c>
      <c r="K58" s="8" t="s">
        <v>52</v>
      </c>
      <c r="L58" s="8"/>
      <c r="M58" s="8"/>
      <c r="N58" s="11" t="s">
        <v>53</v>
      </c>
      <c r="O58" s="12" t="s">
        <v>54</v>
      </c>
      <c r="P58" s="15" t="s">
        <v>58</v>
      </c>
      <c r="Q58" s="22" t="s">
        <v>208</v>
      </c>
    </row>
    <row r="59" spans="1:17" ht="27.75" customHeight="1">
      <c r="A59" s="8">
        <v>58</v>
      </c>
      <c r="B59" s="8" t="s">
        <v>203</v>
      </c>
      <c r="C59" s="17" t="s">
        <v>184</v>
      </c>
      <c r="D59" s="8" t="s">
        <v>204</v>
      </c>
      <c r="E59" s="8" t="s">
        <v>46</v>
      </c>
      <c r="F59" s="8" t="s">
        <v>47</v>
      </c>
      <c r="G59" s="10" t="s">
        <v>48</v>
      </c>
      <c r="H59" s="8" t="s">
        <v>205</v>
      </c>
      <c r="I59" s="8" t="s">
        <v>209</v>
      </c>
      <c r="J59" s="8" t="s">
        <v>207</v>
      </c>
      <c r="K59" s="8" t="s">
        <v>52</v>
      </c>
      <c r="L59" s="8"/>
      <c r="M59" s="8"/>
      <c r="N59" s="11" t="s">
        <v>53</v>
      </c>
      <c r="O59" s="12" t="s">
        <v>54</v>
      </c>
      <c r="P59" s="15" t="s">
        <v>58</v>
      </c>
      <c r="Q59" s="22" t="s">
        <v>208</v>
      </c>
    </row>
    <row r="60" spans="1:17" ht="27.75" customHeight="1">
      <c r="A60" s="8">
        <v>59</v>
      </c>
      <c r="B60" s="8" t="s">
        <v>203</v>
      </c>
      <c r="C60" s="17" t="s">
        <v>184</v>
      </c>
      <c r="D60" s="8" t="s">
        <v>204</v>
      </c>
      <c r="E60" s="8" t="s">
        <v>46</v>
      </c>
      <c r="F60" s="8" t="s">
        <v>59</v>
      </c>
      <c r="G60" s="16" t="s">
        <v>60</v>
      </c>
      <c r="H60" s="8" t="s">
        <v>210</v>
      </c>
      <c r="I60" s="8" t="s">
        <v>211</v>
      </c>
      <c r="J60" s="8" t="s">
        <v>207</v>
      </c>
      <c r="K60" s="8" t="s">
        <v>52</v>
      </c>
      <c r="L60" s="8"/>
      <c r="M60" s="8"/>
      <c r="N60" s="11" t="s">
        <v>53</v>
      </c>
      <c r="O60" s="12" t="s">
        <v>63</v>
      </c>
      <c r="P60" s="13" t="s">
        <v>212</v>
      </c>
      <c r="Q60" s="22" t="s">
        <v>208</v>
      </c>
    </row>
    <row r="61" spans="1:17" ht="27.75" customHeight="1">
      <c r="A61" s="8">
        <v>60</v>
      </c>
      <c r="B61" s="8" t="s">
        <v>203</v>
      </c>
      <c r="C61" s="17" t="s">
        <v>184</v>
      </c>
      <c r="D61" s="8" t="s">
        <v>204</v>
      </c>
      <c r="E61" s="8" t="s">
        <v>46</v>
      </c>
      <c r="F61" s="8" t="s">
        <v>59</v>
      </c>
      <c r="G61" s="16" t="s">
        <v>60</v>
      </c>
      <c r="H61" s="8" t="s">
        <v>210</v>
      </c>
      <c r="I61" s="8" t="s">
        <v>213</v>
      </c>
      <c r="J61" s="8" t="s">
        <v>207</v>
      </c>
      <c r="K61" s="8" t="s">
        <v>52</v>
      </c>
      <c r="L61" s="8"/>
      <c r="M61" s="8"/>
      <c r="N61" s="11" t="s">
        <v>53</v>
      </c>
      <c r="O61" s="12" t="s">
        <v>63</v>
      </c>
      <c r="P61" s="15" t="s">
        <v>58</v>
      </c>
      <c r="Q61" s="22" t="s">
        <v>208</v>
      </c>
    </row>
    <row r="62" spans="1:17" ht="27.75" customHeight="1">
      <c r="A62" s="8">
        <v>61</v>
      </c>
      <c r="B62" s="8" t="s">
        <v>203</v>
      </c>
      <c r="C62" s="17" t="s">
        <v>184</v>
      </c>
      <c r="D62" s="8" t="s">
        <v>204</v>
      </c>
      <c r="E62" s="8" t="s">
        <v>46</v>
      </c>
      <c r="F62" s="8" t="s">
        <v>65</v>
      </c>
      <c r="G62" s="17" t="s">
        <v>66</v>
      </c>
      <c r="H62" s="8" t="s">
        <v>214</v>
      </c>
      <c r="I62" s="8" t="s">
        <v>215</v>
      </c>
      <c r="J62" s="8" t="s">
        <v>207</v>
      </c>
      <c r="K62" s="8" t="s">
        <v>52</v>
      </c>
      <c r="L62" s="8"/>
      <c r="M62" s="8"/>
      <c r="N62" s="18" t="s">
        <v>194</v>
      </c>
      <c r="O62" s="12" t="s">
        <v>216</v>
      </c>
      <c r="P62" s="15" t="s">
        <v>58</v>
      </c>
      <c r="Q62" s="22" t="s">
        <v>208</v>
      </c>
    </row>
    <row r="63" spans="1:17" ht="27.75" customHeight="1">
      <c r="A63" s="8">
        <v>62</v>
      </c>
      <c r="B63" s="8" t="s">
        <v>203</v>
      </c>
      <c r="C63" s="17" t="s">
        <v>184</v>
      </c>
      <c r="D63" s="8" t="s">
        <v>204</v>
      </c>
      <c r="E63" s="8" t="s">
        <v>46</v>
      </c>
      <c r="F63" s="8" t="s">
        <v>65</v>
      </c>
      <c r="G63" s="17" t="s">
        <v>66</v>
      </c>
      <c r="H63" s="8" t="s">
        <v>214</v>
      </c>
      <c r="I63" s="8" t="s">
        <v>217</v>
      </c>
      <c r="J63" s="8" t="s">
        <v>207</v>
      </c>
      <c r="K63" s="8" t="s">
        <v>52</v>
      </c>
      <c r="L63" s="8"/>
      <c r="M63" s="8"/>
      <c r="N63" s="11" t="s">
        <v>53</v>
      </c>
      <c r="O63" s="12" t="s">
        <v>69</v>
      </c>
      <c r="P63" s="15" t="s">
        <v>58</v>
      </c>
      <c r="Q63" s="22" t="s">
        <v>208</v>
      </c>
    </row>
    <row r="64" spans="1:17" ht="27.75" customHeight="1">
      <c r="A64" s="8">
        <v>63</v>
      </c>
      <c r="B64" s="8" t="s">
        <v>218</v>
      </c>
      <c r="C64" s="17" t="s">
        <v>184</v>
      </c>
      <c r="D64" s="8" t="s">
        <v>219</v>
      </c>
      <c r="E64" s="8" t="s">
        <v>46</v>
      </c>
      <c r="F64" s="8" t="s">
        <v>47</v>
      </c>
      <c r="G64" s="10" t="s">
        <v>48</v>
      </c>
      <c r="H64" s="8" t="s">
        <v>220</v>
      </c>
      <c r="I64" s="8" t="s">
        <v>221</v>
      </c>
      <c r="J64" s="8" t="s">
        <v>222</v>
      </c>
      <c r="K64" s="8" t="s">
        <v>52</v>
      </c>
      <c r="L64" s="8"/>
      <c r="M64" s="8"/>
      <c r="N64" s="11" t="s">
        <v>53</v>
      </c>
      <c r="O64" s="12" t="s">
        <v>54</v>
      </c>
      <c r="P64" s="15" t="s">
        <v>58</v>
      </c>
      <c r="Q64" s="22" t="s">
        <v>223</v>
      </c>
    </row>
    <row r="65" spans="1:17" ht="27.75" customHeight="1">
      <c r="A65" s="8">
        <v>64</v>
      </c>
      <c r="B65" s="8" t="s">
        <v>218</v>
      </c>
      <c r="C65" s="17" t="s">
        <v>184</v>
      </c>
      <c r="D65" s="8" t="s">
        <v>219</v>
      </c>
      <c r="E65" s="8" t="s">
        <v>46</v>
      </c>
      <c r="F65" s="8" t="s">
        <v>47</v>
      </c>
      <c r="G65" s="10" t="s">
        <v>48</v>
      </c>
      <c r="H65" s="8" t="s">
        <v>220</v>
      </c>
      <c r="I65" s="8" t="s">
        <v>224</v>
      </c>
      <c r="J65" s="8" t="s">
        <v>222</v>
      </c>
      <c r="K65" s="8" t="s">
        <v>52</v>
      </c>
      <c r="L65" s="8"/>
      <c r="M65" s="8"/>
      <c r="N65" s="11" t="s">
        <v>53</v>
      </c>
      <c r="O65" s="12" t="s">
        <v>54</v>
      </c>
      <c r="P65" s="15" t="s">
        <v>58</v>
      </c>
      <c r="Q65" s="22" t="s">
        <v>223</v>
      </c>
    </row>
    <row r="66" spans="1:17" ht="27.75" customHeight="1">
      <c r="A66" s="8">
        <v>65</v>
      </c>
      <c r="B66" s="8" t="s">
        <v>218</v>
      </c>
      <c r="C66" s="17" t="s">
        <v>184</v>
      </c>
      <c r="D66" s="8" t="s">
        <v>219</v>
      </c>
      <c r="E66" s="8" t="s">
        <v>46</v>
      </c>
      <c r="F66" s="8" t="s">
        <v>59</v>
      </c>
      <c r="G66" s="16" t="s">
        <v>60</v>
      </c>
      <c r="H66" s="8" t="s">
        <v>225</v>
      </c>
      <c r="I66" s="8" t="s">
        <v>226</v>
      </c>
      <c r="J66" s="8" t="s">
        <v>222</v>
      </c>
      <c r="K66" s="8" t="s">
        <v>52</v>
      </c>
      <c r="L66" s="8"/>
      <c r="M66" s="8"/>
      <c r="N66" s="11" t="s">
        <v>53</v>
      </c>
      <c r="O66" s="12" t="s">
        <v>63</v>
      </c>
      <c r="P66" s="15" t="s">
        <v>58</v>
      </c>
      <c r="Q66" s="22" t="s">
        <v>223</v>
      </c>
    </row>
    <row r="67" spans="1:17" ht="27.75" customHeight="1">
      <c r="A67" s="8">
        <v>66</v>
      </c>
      <c r="B67" s="8" t="s">
        <v>218</v>
      </c>
      <c r="C67" s="17" t="s">
        <v>184</v>
      </c>
      <c r="D67" s="8" t="s">
        <v>219</v>
      </c>
      <c r="E67" s="8" t="s">
        <v>46</v>
      </c>
      <c r="F67" s="8" t="s">
        <v>59</v>
      </c>
      <c r="G67" s="16" t="s">
        <v>60</v>
      </c>
      <c r="H67" s="8" t="s">
        <v>225</v>
      </c>
      <c r="I67" s="8" t="s">
        <v>227</v>
      </c>
      <c r="J67" s="8" t="s">
        <v>222</v>
      </c>
      <c r="K67" s="8" t="s">
        <v>52</v>
      </c>
      <c r="L67" s="8"/>
      <c r="M67" s="8"/>
      <c r="N67" s="11" t="s">
        <v>53</v>
      </c>
      <c r="O67" s="12" t="s">
        <v>63</v>
      </c>
      <c r="P67" s="15" t="s">
        <v>58</v>
      </c>
      <c r="Q67" s="22" t="s">
        <v>223</v>
      </c>
    </row>
    <row r="68" spans="1:17" ht="27.75" customHeight="1">
      <c r="A68" s="8">
        <v>67</v>
      </c>
      <c r="B68" s="8" t="s">
        <v>218</v>
      </c>
      <c r="C68" s="17" t="s">
        <v>184</v>
      </c>
      <c r="D68" s="8" t="s">
        <v>219</v>
      </c>
      <c r="E68" s="8" t="s">
        <v>46</v>
      </c>
      <c r="F68" s="8" t="s">
        <v>65</v>
      </c>
      <c r="G68" s="17" t="s">
        <v>66</v>
      </c>
      <c r="H68" s="8" t="s">
        <v>228</v>
      </c>
      <c r="I68" s="8" t="s">
        <v>229</v>
      </c>
      <c r="J68" s="8" t="s">
        <v>222</v>
      </c>
      <c r="K68" s="8" t="s">
        <v>52</v>
      </c>
      <c r="L68" s="8"/>
      <c r="M68" s="8"/>
      <c r="N68" s="11" t="s">
        <v>53</v>
      </c>
      <c r="O68" s="12" t="s">
        <v>69</v>
      </c>
      <c r="P68" s="15" t="s">
        <v>58</v>
      </c>
      <c r="Q68" s="22" t="s">
        <v>223</v>
      </c>
    </row>
    <row r="69" spans="1:17" ht="27.75" customHeight="1">
      <c r="A69" s="8">
        <v>68</v>
      </c>
      <c r="B69" s="8" t="s">
        <v>230</v>
      </c>
      <c r="C69" s="17" t="s">
        <v>184</v>
      </c>
      <c r="D69" s="8" t="s">
        <v>231</v>
      </c>
      <c r="E69" s="8" t="s">
        <v>46</v>
      </c>
      <c r="F69" s="8" t="s">
        <v>47</v>
      </c>
      <c r="G69" s="10" t="s">
        <v>48</v>
      </c>
      <c r="H69" s="8" t="s">
        <v>232</v>
      </c>
      <c r="I69" s="8" t="s">
        <v>233</v>
      </c>
      <c r="J69" s="8" t="s">
        <v>234</v>
      </c>
      <c r="K69" s="8" t="s">
        <v>52</v>
      </c>
      <c r="L69" s="8"/>
      <c r="M69" s="8"/>
      <c r="N69" s="11" t="s">
        <v>53</v>
      </c>
      <c r="O69" s="12" t="s">
        <v>54</v>
      </c>
      <c r="P69" s="15" t="s">
        <v>58</v>
      </c>
      <c r="Q69" s="14" t="s">
        <v>235</v>
      </c>
    </row>
    <row r="70" spans="1:17" ht="27.75" customHeight="1">
      <c r="A70" s="8">
        <v>69</v>
      </c>
      <c r="B70" s="8" t="s">
        <v>230</v>
      </c>
      <c r="C70" s="17" t="s">
        <v>184</v>
      </c>
      <c r="D70" s="8" t="s">
        <v>231</v>
      </c>
      <c r="E70" s="8" t="s">
        <v>46</v>
      </c>
      <c r="F70" s="8" t="s">
        <v>47</v>
      </c>
      <c r="G70" s="10" t="s">
        <v>48</v>
      </c>
      <c r="H70" s="8" t="s">
        <v>232</v>
      </c>
      <c r="I70" s="8" t="s">
        <v>236</v>
      </c>
      <c r="J70" s="8" t="s">
        <v>234</v>
      </c>
      <c r="K70" s="8" t="s">
        <v>52</v>
      </c>
      <c r="L70" s="8"/>
      <c r="M70" s="8"/>
      <c r="N70" s="11" t="s">
        <v>53</v>
      </c>
      <c r="O70" s="12" t="s">
        <v>54</v>
      </c>
      <c r="P70" s="15" t="s">
        <v>58</v>
      </c>
      <c r="Q70" s="14" t="s">
        <v>235</v>
      </c>
    </row>
    <row r="71" spans="1:17" ht="27.75" customHeight="1">
      <c r="A71" s="8">
        <v>70</v>
      </c>
      <c r="B71" s="8" t="s">
        <v>230</v>
      </c>
      <c r="C71" s="17" t="s">
        <v>184</v>
      </c>
      <c r="D71" s="8" t="s">
        <v>231</v>
      </c>
      <c r="E71" s="8" t="s">
        <v>46</v>
      </c>
      <c r="F71" s="8" t="s">
        <v>59</v>
      </c>
      <c r="G71" s="16" t="s">
        <v>60</v>
      </c>
      <c r="H71" s="8" t="s">
        <v>237</v>
      </c>
      <c r="I71" s="8" t="s">
        <v>238</v>
      </c>
      <c r="J71" s="8" t="s">
        <v>234</v>
      </c>
      <c r="K71" s="8" t="s">
        <v>52</v>
      </c>
      <c r="L71" s="8"/>
      <c r="M71" s="8"/>
      <c r="N71" s="11" t="s">
        <v>53</v>
      </c>
      <c r="O71" s="12" t="s">
        <v>63</v>
      </c>
      <c r="P71" s="15" t="s">
        <v>58</v>
      </c>
      <c r="Q71" s="14" t="s">
        <v>235</v>
      </c>
    </row>
    <row r="72" spans="1:17" ht="27.75" customHeight="1">
      <c r="A72" s="8">
        <v>71</v>
      </c>
      <c r="B72" s="8" t="s">
        <v>230</v>
      </c>
      <c r="C72" s="17" t="s">
        <v>184</v>
      </c>
      <c r="D72" s="8" t="s">
        <v>231</v>
      </c>
      <c r="E72" s="8" t="s">
        <v>46</v>
      </c>
      <c r="F72" s="8" t="s">
        <v>59</v>
      </c>
      <c r="G72" s="16" t="s">
        <v>60</v>
      </c>
      <c r="H72" s="8" t="s">
        <v>237</v>
      </c>
      <c r="I72" s="8" t="s">
        <v>239</v>
      </c>
      <c r="J72" s="8" t="s">
        <v>234</v>
      </c>
      <c r="K72" s="8" t="s">
        <v>52</v>
      </c>
      <c r="L72" s="8"/>
      <c r="M72" s="8"/>
      <c r="N72" s="11" t="s">
        <v>53</v>
      </c>
      <c r="O72" s="12" t="s">
        <v>63</v>
      </c>
      <c r="P72" s="13" t="s">
        <v>240</v>
      </c>
      <c r="Q72" s="14" t="s">
        <v>235</v>
      </c>
    </row>
    <row r="73" spans="1:17" ht="27.75" customHeight="1">
      <c r="A73" s="8">
        <v>72</v>
      </c>
      <c r="B73" s="8" t="s">
        <v>230</v>
      </c>
      <c r="C73" s="17" t="s">
        <v>184</v>
      </c>
      <c r="D73" s="8" t="s">
        <v>231</v>
      </c>
      <c r="E73" s="8" t="s">
        <v>46</v>
      </c>
      <c r="F73" s="8" t="s">
        <v>65</v>
      </c>
      <c r="G73" s="17" t="s">
        <v>66</v>
      </c>
      <c r="H73" s="8" t="s">
        <v>241</v>
      </c>
      <c r="I73" s="8" t="s">
        <v>242</v>
      </c>
      <c r="J73" s="8" t="s">
        <v>234</v>
      </c>
      <c r="K73" s="8" t="s">
        <v>52</v>
      </c>
      <c r="L73" s="8"/>
      <c r="M73" s="8"/>
      <c r="N73" s="23" t="s">
        <v>243</v>
      </c>
      <c r="O73" s="12" t="s">
        <v>244</v>
      </c>
      <c r="P73" s="15" t="s">
        <v>58</v>
      </c>
      <c r="Q73" s="14" t="s">
        <v>235</v>
      </c>
    </row>
    <row r="74" spans="1:17" ht="27.75" customHeight="1">
      <c r="A74" s="8">
        <v>73</v>
      </c>
      <c r="B74" s="8" t="s">
        <v>245</v>
      </c>
      <c r="C74" s="17" t="s">
        <v>184</v>
      </c>
      <c r="D74" s="8" t="s">
        <v>246</v>
      </c>
      <c r="E74" s="8" t="s">
        <v>46</v>
      </c>
      <c r="F74" s="8" t="s">
        <v>47</v>
      </c>
      <c r="G74" s="10" t="s">
        <v>48</v>
      </c>
      <c r="H74" s="8" t="s">
        <v>247</v>
      </c>
      <c r="I74" s="8" t="s">
        <v>248</v>
      </c>
      <c r="J74" s="8" t="s">
        <v>249</v>
      </c>
      <c r="K74" s="8" t="s">
        <v>52</v>
      </c>
      <c r="L74" s="8"/>
      <c r="M74" s="8"/>
      <c r="N74" s="11" t="s">
        <v>53</v>
      </c>
      <c r="O74" s="12" t="s">
        <v>54</v>
      </c>
      <c r="P74" s="15" t="s">
        <v>58</v>
      </c>
      <c r="Q74" s="21" t="s">
        <v>250</v>
      </c>
    </row>
    <row r="75" spans="1:17" ht="27.75" customHeight="1">
      <c r="A75" s="8">
        <v>74</v>
      </c>
      <c r="B75" s="8" t="s">
        <v>245</v>
      </c>
      <c r="C75" s="17" t="s">
        <v>184</v>
      </c>
      <c r="D75" s="8" t="s">
        <v>246</v>
      </c>
      <c r="E75" s="8" t="s">
        <v>46</v>
      </c>
      <c r="F75" s="8" t="s">
        <v>47</v>
      </c>
      <c r="G75" s="10" t="s">
        <v>48</v>
      </c>
      <c r="H75" s="8" t="s">
        <v>247</v>
      </c>
      <c r="I75" s="8" t="s">
        <v>251</v>
      </c>
      <c r="J75" s="8" t="s">
        <v>249</v>
      </c>
      <c r="K75" s="8" t="s">
        <v>52</v>
      </c>
      <c r="L75" s="8"/>
      <c r="M75" s="8"/>
      <c r="N75" s="11" t="s">
        <v>53</v>
      </c>
      <c r="O75" s="12" t="s">
        <v>54</v>
      </c>
      <c r="P75" s="15" t="s">
        <v>252</v>
      </c>
      <c r="Q75" s="21" t="s">
        <v>250</v>
      </c>
    </row>
    <row r="76" spans="1:17" ht="23.25" customHeight="1">
      <c r="A76" s="8">
        <v>75</v>
      </c>
      <c r="B76" s="8" t="s">
        <v>245</v>
      </c>
      <c r="C76" s="17" t="s">
        <v>184</v>
      </c>
      <c r="D76" s="8" t="s">
        <v>246</v>
      </c>
      <c r="E76" s="8" t="s">
        <v>46</v>
      </c>
      <c r="F76" s="8" t="s">
        <v>59</v>
      </c>
      <c r="G76" s="16" t="s">
        <v>60</v>
      </c>
      <c r="H76" s="8" t="s">
        <v>253</v>
      </c>
      <c r="I76" s="8" t="s">
        <v>254</v>
      </c>
      <c r="J76" s="8" t="s">
        <v>249</v>
      </c>
      <c r="K76" s="8" t="s">
        <v>52</v>
      </c>
      <c r="L76" s="8"/>
      <c r="M76" s="8"/>
      <c r="N76" s="11" t="s">
        <v>53</v>
      </c>
      <c r="O76" s="12" t="s">
        <v>63</v>
      </c>
      <c r="P76" s="15" t="s">
        <v>58</v>
      </c>
      <c r="Q76" s="21" t="s">
        <v>250</v>
      </c>
    </row>
    <row r="77" spans="1:17" ht="27.75" customHeight="1">
      <c r="A77" s="8">
        <v>76</v>
      </c>
      <c r="B77" s="8" t="s">
        <v>245</v>
      </c>
      <c r="C77" s="17" t="s">
        <v>184</v>
      </c>
      <c r="D77" s="8" t="s">
        <v>246</v>
      </c>
      <c r="E77" s="8" t="s">
        <v>46</v>
      </c>
      <c r="F77" s="8" t="s">
        <v>59</v>
      </c>
      <c r="G77" s="16" t="s">
        <v>60</v>
      </c>
      <c r="H77" s="8" t="s">
        <v>253</v>
      </c>
      <c r="I77" s="8" t="s">
        <v>255</v>
      </c>
      <c r="J77" s="8" t="s">
        <v>249</v>
      </c>
      <c r="K77" s="8" t="s">
        <v>52</v>
      </c>
      <c r="L77" s="8"/>
      <c r="M77" s="8"/>
      <c r="N77" s="11" t="s">
        <v>53</v>
      </c>
      <c r="O77" s="12" t="s">
        <v>63</v>
      </c>
      <c r="P77" s="15" t="s">
        <v>58</v>
      </c>
      <c r="Q77" s="21" t="s">
        <v>250</v>
      </c>
    </row>
    <row r="78" spans="1:17" ht="23.25" customHeight="1">
      <c r="A78" s="8">
        <v>77</v>
      </c>
      <c r="B78" s="8" t="s">
        <v>245</v>
      </c>
      <c r="C78" s="17" t="s">
        <v>184</v>
      </c>
      <c r="D78" s="8" t="s">
        <v>246</v>
      </c>
      <c r="E78" s="8" t="s">
        <v>46</v>
      </c>
      <c r="F78" s="8" t="s">
        <v>65</v>
      </c>
      <c r="G78" s="17" t="s">
        <v>66</v>
      </c>
      <c r="H78" s="8" t="s">
        <v>256</v>
      </c>
      <c r="I78" s="8" t="s">
        <v>257</v>
      </c>
      <c r="J78" s="8" t="s">
        <v>249</v>
      </c>
      <c r="K78" s="8" t="s">
        <v>52</v>
      </c>
      <c r="L78" s="8"/>
      <c r="M78" s="8"/>
      <c r="N78" s="11" t="s">
        <v>53</v>
      </c>
      <c r="O78" s="12" t="s">
        <v>69</v>
      </c>
      <c r="P78" s="15" t="s">
        <v>58</v>
      </c>
      <c r="Q78" s="21" t="s">
        <v>250</v>
      </c>
    </row>
    <row r="79" spans="1:17" ht="27.75" customHeight="1">
      <c r="A79" s="8">
        <v>78</v>
      </c>
      <c r="B79" s="8" t="s">
        <v>245</v>
      </c>
      <c r="C79" s="17" t="s">
        <v>184</v>
      </c>
      <c r="D79" s="8" t="s">
        <v>246</v>
      </c>
      <c r="E79" s="8" t="s">
        <v>46</v>
      </c>
      <c r="F79" s="8" t="s">
        <v>65</v>
      </c>
      <c r="G79" s="17" t="s">
        <v>66</v>
      </c>
      <c r="H79" s="8" t="s">
        <v>256</v>
      </c>
      <c r="I79" s="8" t="s">
        <v>258</v>
      </c>
      <c r="J79" s="8" t="s">
        <v>249</v>
      </c>
      <c r="K79" s="8" t="s">
        <v>52</v>
      </c>
      <c r="L79" s="8"/>
      <c r="M79" s="8"/>
      <c r="N79" s="11" t="s">
        <v>53</v>
      </c>
      <c r="O79" s="12" t="s">
        <v>69</v>
      </c>
      <c r="P79" s="15" t="s">
        <v>58</v>
      </c>
      <c r="Q79" s="21" t="s">
        <v>250</v>
      </c>
    </row>
    <row r="80" spans="1:17" ht="27.75" customHeight="1">
      <c r="A80" s="8">
        <v>79</v>
      </c>
      <c r="B80" s="8" t="s">
        <v>259</v>
      </c>
      <c r="C80" s="16" t="s">
        <v>260</v>
      </c>
      <c r="D80" s="8" t="s">
        <v>261</v>
      </c>
      <c r="E80" s="8" t="s">
        <v>262</v>
      </c>
      <c r="F80" s="8" t="s">
        <v>51</v>
      </c>
      <c r="G80" s="24" t="s">
        <v>263</v>
      </c>
      <c r="H80" s="8" t="s">
        <v>51</v>
      </c>
      <c r="I80" s="8" t="s">
        <v>264</v>
      </c>
      <c r="J80" s="8" t="s">
        <v>265</v>
      </c>
      <c r="K80" s="8" t="s">
        <v>52</v>
      </c>
      <c r="L80" s="8"/>
      <c r="M80" s="8"/>
      <c r="N80" s="11" t="s">
        <v>266</v>
      </c>
      <c r="O80" s="12" t="s">
        <v>267</v>
      </c>
      <c r="P80" s="15" t="s">
        <v>58</v>
      </c>
      <c r="Q80" s="21" t="s">
        <v>268</v>
      </c>
    </row>
    <row r="81" spans="1:17" ht="27.75" customHeight="1">
      <c r="A81" s="8">
        <v>80</v>
      </c>
      <c r="B81" s="8" t="s">
        <v>259</v>
      </c>
      <c r="C81" s="16" t="s">
        <v>260</v>
      </c>
      <c r="D81" s="8" t="s">
        <v>261</v>
      </c>
      <c r="E81" s="8" t="s">
        <v>46</v>
      </c>
      <c r="F81" s="8" t="s">
        <v>47</v>
      </c>
      <c r="G81" s="10" t="s">
        <v>48</v>
      </c>
      <c r="H81" s="8" t="s">
        <v>269</v>
      </c>
      <c r="I81" s="8" t="s">
        <v>270</v>
      </c>
      <c r="J81" s="8" t="s">
        <v>265</v>
      </c>
      <c r="K81" s="8" t="s">
        <v>52</v>
      </c>
      <c r="L81" s="8"/>
      <c r="M81" s="8"/>
      <c r="N81" s="25" t="s">
        <v>271</v>
      </c>
      <c r="O81" s="12" t="s">
        <v>272</v>
      </c>
      <c r="P81" s="15" t="s">
        <v>58</v>
      </c>
      <c r="Q81" s="22" t="s">
        <v>273</v>
      </c>
    </row>
    <row r="82" spans="1:17" ht="27.75" customHeight="1">
      <c r="A82" s="8">
        <v>81</v>
      </c>
      <c r="B82" s="8" t="s">
        <v>259</v>
      </c>
      <c r="C82" s="16" t="s">
        <v>260</v>
      </c>
      <c r="D82" s="8" t="s">
        <v>261</v>
      </c>
      <c r="E82" s="8" t="s">
        <v>46</v>
      </c>
      <c r="F82" s="8" t="s">
        <v>47</v>
      </c>
      <c r="G82" s="10" t="s">
        <v>48</v>
      </c>
      <c r="H82" s="8" t="s">
        <v>269</v>
      </c>
      <c r="I82" s="8" t="s">
        <v>274</v>
      </c>
      <c r="J82" s="8" t="s">
        <v>265</v>
      </c>
      <c r="K82" s="8" t="s">
        <v>52</v>
      </c>
      <c r="L82" s="8"/>
      <c r="M82" s="8"/>
      <c r="N82" s="11" t="s">
        <v>53</v>
      </c>
      <c r="O82" s="12" t="s">
        <v>54</v>
      </c>
      <c r="P82" s="15" t="s">
        <v>58</v>
      </c>
      <c r="Q82" s="22" t="s">
        <v>273</v>
      </c>
    </row>
    <row r="83" spans="1:17" ht="27.75" customHeight="1">
      <c r="A83" s="8">
        <v>82</v>
      </c>
      <c r="B83" s="8" t="s">
        <v>259</v>
      </c>
      <c r="C83" s="16" t="s">
        <v>260</v>
      </c>
      <c r="D83" s="8" t="s">
        <v>261</v>
      </c>
      <c r="E83" s="8" t="s">
        <v>46</v>
      </c>
      <c r="F83" s="8" t="s">
        <v>59</v>
      </c>
      <c r="G83" s="16" t="s">
        <v>60</v>
      </c>
      <c r="H83" s="8" t="s">
        <v>275</v>
      </c>
      <c r="I83" s="8" t="s">
        <v>276</v>
      </c>
      <c r="J83" s="8" t="s">
        <v>265</v>
      </c>
      <c r="K83" s="8" t="s">
        <v>52</v>
      </c>
      <c r="L83" s="8"/>
      <c r="M83" s="8"/>
      <c r="N83" s="11" t="s">
        <v>53</v>
      </c>
      <c r="O83" s="12" t="s">
        <v>63</v>
      </c>
      <c r="P83" s="15" t="s">
        <v>58</v>
      </c>
      <c r="Q83" s="22" t="s">
        <v>273</v>
      </c>
    </row>
    <row r="84" spans="1:17" ht="27.75" customHeight="1">
      <c r="A84" s="8">
        <v>83</v>
      </c>
      <c r="B84" s="8" t="s">
        <v>259</v>
      </c>
      <c r="C84" s="16" t="s">
        <v>260</v>
      </c>
      <c r="D84" s="8" t="s">
        <v>261</v>
      </c>
      <c r="E84" s="8" t="s">
        <v>46</v>
      </c>
      <c r="F84" s="8" t="s">
        <v>59</v>
      </c>
      <c r="G84" s="16" t="s">
        <v>60</v>
      </c>
      <c r="H84" s="8" t="s">
        <v>275</v>
      </c>
      <c r="I84" s="8" t="s">
        <v>277</v>
      </c>
      <c r="J84" s="8" t="s">
        <v>265</v>
      </c>
      <c r="K84" s="8" t="s">
        <v>52</v>
      </c>
      <c r="L84" s="8"/>
      <c r="M84" s="8"/>
      <c r="N84" s="11" t="s">
        <v>53</v>
      </c>
      <c r="O84" s="12" t="s">
        <v>63</v>
      </c>
      <c r="P84" s="15" t="s">
        <v>58</v>
      </c>
      <c r="Q84" s="22" t="s">
        <v>273</v>
      </c>
    </row>
    <row r="85" spans="1:17" ht="27.75" customHeight="1">
      <c r="A85" s="8">
        <v>84</v>
      </c>
      <c r="B85" s="8" t="s">
        <v>259</v>
      </c>
      <c r="C85" s="16" t="s">
        <v>260</v>
      </c>
      <c r="D85" s="8" t="s">
        <v>261</v>
      </c>
      <c r="E85" s="8" t="s">
        <v>46</v>
      </c>
      <c r="F85" s="8" t="s">
        <v>65</v>
      </c>
      <c r="G85" s="17" t="s">
        <v>66</v>
      </c>
      <c r="H85" s="8" t="s">
        <v>278</v>
      </c>
      <c r="I85" s="8" t="s">
        <v>279</v>
      </c>
      <c r="J85" s="8" t="s">
        <v>265</v>
      </c>
      <c r="K85" s="8" t="s">
        <v>52</v>
      </c>
      <c r="L85" s="8"/>
      <c r="M85" s="8"/>
      <c r="N85" s="11" t="s">
        <v>53</v>
      </c>
      <c r="O85" s="12" t="s">
        <v>69</v>
      </c>
      <c r="P85" s="15" t="s">
        <v>58</v>
      </c>
      <c r="Q85" s="22" t="s">
        <v>273</v>
      </c>
    </row>
    <row r="86" spans="1:17" ht="27.75" customHeight="1">
      <c r="A86" s="8">
        <v>85</v>
      </c>
      <c r="B86" s="8" t="s">
        <v>280</v>
      </c>
      <c r="C86" s="16" t="s">
        <v>260</v>
      </c>
      <c r="D86" s="8" t="s">
        <v>281</v>
      </c>
      <c r="E86" s="8" t="s">
        <v>46</v>
      </c>
      <c r="F86" s="8" t="s">
        <v>47</v>
      </c>
      <c r="G86" s="10" t="s">
        <v>48</v>
      </c>
      <c r="H86" s="8" t="s">
        <v>282</v>
      </c>
      <c r="I86" s="8" t="s">
        <v>283</v>
      </c>
      <c r="J86" s="8" t="s">
        <v>284</v>
      </c>
      <c r="K86" s="8" t="s">
        <v>52</v>
      </c>
      <c r="L86" s="8"/>
      <c r="M86" s="8"/>
      <c r="N86" s="11" t="s">
        <v>53</v>
      </c>
      <c r="O86" s="12" t="s">
        <v>54</v>
      </c>
      <c r="P86" s="15" t="s">
        <v>58</v>
      </c>
      <c r="Q86" s="14" t="s">
        <v>285</v>
      </c>
    </row>
    <row r="87" spans="1:17" ht="27.75" customHeight="1">
      <c r="A87" s="8">
        <v>86</v>
      </c>
      <c r="B87" s="8" t="s">
        <v>280</v>
      </c>
      <c r="C87" s="16" t="s">
        <v>260</v>
      </c>
      <c r="D87" s="8" t="s">
        <v>281</v>
      </c>
      <c r="E87" s="8" t="s">
        <v>46</v>
      </c>
      <c r="F87" s="8" t="s">
        <v>47</v>
      </c>
      <c r="G87" s="10" t="s">
        <v>48</v>
      </c>
      <c r="H87" s="8" t="s">
        <v>282</v>
      </c>
      <c r="I87" s="8" t="s">
        <v>286</v>
      </c>
      <c r="J87" s="8" t="s">
        <v>284</v>
      </c>
      <c r="K87" s="8" t="s">
        <v>52</v>
      </c>
      <c r="L87" s="8"/>
      <c r="M87" s="8"/>
      <c r="N87" s="11" t="s">
        <v>53</v>
      </c>
      <c r="O87" s="12" t="s">
        <v>54</v>
      </c>
      <c r="P87" s="15" t="s">
        <v>58</v>
      </c>
      <c r="Q87" s="14" t="s">
        <v>285</v>
      </c>
    </row>
    <row r="88" spans="1:17" ht="27.75" customHeight="1">
      <c r="A88" s="8">
        <v>87</v>
      </c>
      <c r="B88" s="8" t="s">
        <v>280</v>
      </c>
      <c r="C88" s="16" t="s">
        <v>260</v>
      </c>
      <c r="D88" s="8" t="s">
        <v>281</v>
      </c>
      <c r="E88" s="8" t="s">
        <v>46</v>
      </c>
      <c r="F88" s="8" t="s">
        <v>59</v>
      </c>
      <c r="G88" s="16" t="s">
        <v>60</v>
      </c>
      <c r="H88" s="8" t="s">
        <v>287</v>
      </c>
      <c r="I88" s="8" t="s">
        <v>288</v>
      </c>
      <c r="J88" s="8" t="s">
        <v>284</v>
      </c>
      <c r="K88" s="8" t="s">
        <v>52</v>
      </c>
      <c r="L88" s="8"/>
      <c r="M88" s="8"/>
      <c r="N88" s="11" t="s">
        <v>53</v>
      </c>
      <c r="O88" s="12" t="s">
        <v>63</v>
      </c>
      <c r="P88" s="15" t="s">
        <v>58</v>
      </c>
      <c r="Q88" s="14" t="s">
        <v>285</v>
      </c>
    </row>
    <row r="89" spans="1:17" ht="15" customHeight="1">
      <c r="A89" s="8">
        <v>88</v>
      </c>
      <c r="B89" s="8" t="s">
        <v>280</v>
      </c>
      <c r="C89" s="16" t="s">
        <v>260</v>
      </c>
      <c r="D89" s="8" t="s">
        <v>281</v>
      </c>
      <c r="E89" s="8" t="s">
        <v>46</v>
      </c>
      <c r="F89" s="8" t="s">
        <v>59</v>
      </c>
      <c r="G89" s="16" t="s">
        <v>60</v>
      </c>
      <c r="H89" s="8" t="s">
        <v>287</v>
      </c>
      <c r="I89" s="8" t="s">
        <v>289</v>
      </c>
      <c r="J89" s="8" t="s">
        <v>284</v>
      </c>
      <c r="K89" s="8" t="s">
        <v>52</v>
      </c>
      <c r="L89" s="8"/>
      <c r="M89" s="8"/>
      <c r="N89" s="11" t="s">
        <v>53</v>
      </c>
      <c r="O89" s="12" t="s">
        <v>63</v>
      </c>
      <c r="P89" s="15" t="s">
        <v>58</v>
      </c>
      <c r="Q89" s="14" t="s">
        <v>285</v>
      </c>
    </row>
    <row r="90" spans="1:17" ht="27.75" customHeight="1">
      <c r="A90" s="8">
        <v>89</v>
      </c>
      <c r="B90" s="8" t="s">
        <v>280</v>
      </c>
      <c r="C90" s="16" t="s">
        <v>260</v>
      </c>
      <c r="D90" s="8" t="s">
        <v>281</v>
      </c>
      <c r="E90" s="8" t="s">
        <v>46</v>
      </c>
      <c r="F90" s="8" t="s">
        <v>65</v>
      </c>
      <c r="G90" s="17" t="s">
        <v>66</v>
      </c>
      <c r="H90" s="8" t="s">
        <v>290</v>
      </c>
      <c r="I90" s="8" t="s">
        <v>291</v>
      </c>
      <c r="J90" s="8" t="s">
        <v>284</v>
      </c>
      <c r="K90" s="8" t="s">
        <v>52</v>
      </c>
      <c r="L90" s="8"/>
      <c r="M90" s="8"/>
      <c r="N90" s="18" t="s">
        <v>194</v>
      </c>
      <c r="O90" s="12" t="s">
        <v>292</v>
      </c>
      <c r="P90" s="15" t="s">
        <v>58</v>
      </c>
      <c r="Q90" s="14" t="s">
        <v>285</v>
      </c>
    </row>
    <row r="91" spans="1:17" ht="27.75" customHeight="1">
      <c r="A91" s="8">
        <v>90</v>
      </c>
      <c r="B91" s="8" t="s">
        <v>293</v>
      </c>
      <c r="C91" s="16" t="s">
        <v>260</v>
      </c>
      <c r="D91" s="8" t="s">
        <v>294</v>
      </c>
      <c r="E91" s="8" t="s">
        <v>46</v>
      </c>
      <c r="F91" s="8" t="s">
        <v>47</v>
      </c>
      <c r="G91" s="10" t="s">
        <v>48</v>
      </c>
      <c r="H91" s="8" t="s">
        <v>295</v>
      </c>
      <c r="I91" s="8" t="s">
        <v>296</v>
      </c>
      <c r="J91" s="8" t="s">
        <v>297</v>
      </c>
      <c r="K91" s="8" t="s">
        <v>52</v>
      </c>
      <c r="L91" s="8"/>
      <c r="M91" s="8"/>
      <c r="N91" s="25" t="s">
        <v>271</v>
      </c>
      <c r="O91" s="12" t="s">
        <v>298</v>
      </c>
      <c r="P91" s="15" t="s">
        <v>58</v>
      </c>
      <c r="Q91" s="20" t="s">
        <v>299</v>
      </c>
    </row>
    <row r="92" spans="1:17" ht="27.75" customHeight="1">
      <c r="A92" s="8">
        <v>91</v>
      </c>
      <c r="B92" s="8" t="s">
        <v>293</v>
      </c>
      <c r="C92" s="16" t="s">
        <v>260</v>
      </c>
      <c r="D92" s="8" t="s">
        <v>294</v>
      </c>
      <c r="E92" s="8" t="s">
        <v>46</v>
      </c>
      <c r="F92" s="8" t="s">
        <v>47</v>
      </c>
      <c r="G92" s="10" t="s">
        <v>48</v>
      </c>
      <c r="H92" s="8" t="s">
        <v>295</v>
      </c>
      <c r="I92" s="8" t="s">
        <v>300</v>
      </c>
      <c r="J92" s="8" t="s">
        <v>297</v>
      </c>
      <c r="K92" s="8" t="s">
        <v>52</v>
      </c>
      <c r="L92" s="8"/>
      <c r="M92" s="8"/>
      <c r="N92" s="11" t="s">
        <v>53</v>
      </c>
      <c r="O92" s="12" t="s">
        <v>54</v>
      </c>
      <c r="P92" s="15" t="s">
        <v>58</v>
      </c>
      <c r="Q92" s="20" t="s">
        <v>299</v>
      </c>
    </row>
    <row r="93" spans="1:17" ht="27.75" customHeight="1">
      <c r="A93" s="8">
        <v>92</v>
      </c>
      <c r="B93" s="8" t="s">
        <v>293</v>
      </c>
      <c r="C93" s="16" t="s">
        <v>260</v>
      </c>
      <c r="D93" s="8" t="s">
        <v>294</v>
      </c>
      <c r="E93" s="8" t="s">
        <v>46</v>
      </c>
      <c r="F93" s="8" t="s">
        <v>59</v>
      </c>
      <c r="G93" s="16" t="s">
        <v>60</v>
      </c>
      <c r="H93" s="8" t="s">
        <v>301</v>
      </c>
      <c r="I93" s="8" t="s">
        <v>302</v>
      </c>
      <c r="J93" s="8" t="s">
        <v>297</v>
      </c>
      <c r="K93" s="8" t="s">
        <v>52</v>
      </c>
      <c r="L93" s="8"/>
      <c r="M93" s="8"/>
      <c r="N93" s="11" t="s">
        <v>53</v>
      </c>
      <c r="O93" s="12" t="s">
        <v>63</v>
      </c>
      <c r="P93" s="15" t="s">
        <v>58</v>
      </c>
      <c r="Q93" s="20" t="s">
        <v>299</v>
      </c>
    </row>
    <row r="94" spans="1:17" ht="27.75" customHeight="1">
      <c r="A94" s="8">
        <v>93</v>
      </c>
      <c r="B94" s="8" t="s">
        <v>293</v>
      </c>
      <c r="C94" s="16" t="s">
        <v>260</v>
      </c>
      <c r="D94" s="8" t="s">
        <v>294</v>
      </c>
      <c r="E94" s="8" t="s">
        <v>46</v>
      </c>
      <c r="F94" s="8" t="s">
        <v>65</v>
      </c>
      <c r="G94" s="17" t="s">
        <v>66</v>
      </c>
      <c r="H94" s="8" t="s">
        <v>303</v>
      </c>
      <c r="I94" s="8" t="s">
        <v>304</v>
      </c>
      <c r="J94" s="8" t="s">
        <v>297</v>
      </c>
      <c r="K94" s="8" t="s">
        <v>52</v>
      </c>
      <c r="L94" s="8"/>
      <c r="M94" s="8"/>
      <c r="N94" s="11" t="s">
        <v>53</v>
      </c>
      <c r="O94" s="12" t="s">
        <v>69</v>
      </c>
      <c r="P94" s="15" t="s">
        <v>58</v>
      </c>
      <c r="Q94" s="20" t="s">
        <v>299</v>
      </c>
    </row>
    <row r="95" spans="1:17" ht="27.75" customHeight="1">
      <c r="A95" s="8">
        <v>94</v>
      </c>
      <c r="B95" s="8" t="s">
        <v>305</v>
      </c>
      <c r="C95" s="16" t="s">
        <v>260</v>
      </c>
      <c r="D95" s="8" t="s">
        <v>306</v>
      </c>
      <c r="E95" s="8" t="s">
        <v>46</v>
      </c>
      <c r="F95" s="8" t="s">
        <v>47</v>
      </c>
      <c r="G95" s="10" t="s">
        <v>48</v>
      </c>
      <c r="H95" s="8" t="s">
        <v>307</v>
      </c>
      <c r="I95" s="8" t="s">
        <v>308</v>
      </c>
      <c r="J95" s="8" t="s">
        <v>309</v>
      </c>
      <c r="K95" s="8" t="s">
        <v>52</v>
      </c>
      <c r="L95" s="8"/>
      <c r="M95" s="8"/>
      <c r="N95" s="18" t="s">
        <v>97</v>
      </c>
      <c r="O95" s="12" t="s">
        <v>310</v>
      </c>
      <c r="P95" s="15" t="s">
        <v>58</v>
      </c>
      <c r="Q95" s="22" t="s">
        <v>311</v>
      </c>
    </row>
    <row r="96" spans="1:17" ht="27.75" customHeight="1">
      <c r="A96" s="8">
        <v>95</v>
      </c>
      <c r="B96" s="8" t="s">
        <v>305</v>
      </c>
      <c r="C96" s="16" t="s">
        <v>260</v>
      </c>
      <c r="D96" s="8" t="s">
        <v>306</v>
      </c>
      <c r="E96" s="8" t="s">
        <v>46</v>
      </c>
      <c r="F96" s="8" t="s">
        <v>47</v>
      </c>
      <c r="G96" s="10" t="s">
        <v>48</v>
      </c>
      <c r="H96" s="8" t="s">
        <v>307</v>
      </c>
      <c r="I96" s="8" t="s">
        <v>312</v>
      </c>
      <c r="J96" s="8" t="s">
        <v>309</v>
      </c>
      <c r="K96" s="8" t="s">
        <v>52</v>
      </c>
      <c r="L96" s="8"/>
      <c r="M96" s="8"/>
      <c r="N96" s="11" t="s">
        <v>53</v>
      </c>
      <c r="O96" s="12" t="s">
        <v>54</v>
      </c>
      <c r="P96" s="15" t="s">
        <v>58</v>
      </c>
      <c r="Q96" s="22" t="s">
        <v>311</v>
      </c>
    </row>
    <row r="97" spans="1:17" ht="27.75" customHeight="1">
      <c r="A97" s="8">
        <v>96</v>
      </c>
      <c r="B97" s="8" t="s">
        <v>305</v>
      </c>
      <c r="C97" s="16" t="s">
        <v>260</v>
      </c>
      <c r="D97" s="8" t="s">
        <v>306</v>
      </c>
      <c r="E97" s="8" t="s">
        <v>46</v>
      </c>
      <c r="F97" s="8" t="s">
        <v>59</v>
      </c>
      <c r="G97" s="16" t="s">
        <v>60</v>
      </c>
      <c r="H97" s="8" t="s">
        <v>313</v>
      </c>
      <c r="I97" s="8" t="s">
        <v>314</v>
      </c>
      <c r="J97" s="8" t="s">
        <v>309</v>
      </c>
      <c r="K97" s="8" t="s">
        <v>52</v>
      </c>
      <c r="L97" s="8"/>
      <c r="M97" s="8"/>
      <c r="N97" s="11" t="s">
        <v>53</v>
      </c>
      <c r="O97" s="12" t="s">
        <v>63</v>
      </c>
      <c r="P97" s="15" t="s">
        <v>58</v>
      </c>
      <c r="Q97" s="22" t="s">
        <v>311</v>
      </c>
    </row>
    <row r="98" spans="1:17" ht="27.75" customHeight="1">
      <c r="A98" s="8">
        <v>97</v>
      </c>
      <c r="B98" s="8" t="s">
        <v>305</v>
      </c>
      <c r="C98" s="16" t="s">
        <v>260</v>
      </c>
      <c r="D98" s="8" t="s">
        <v>306</v>
      </c>
      <c r="E98" s="8" t="s">
        <v>46</v>
      </c>
      <c r="F98" s="8" t="s">
        <v>59</v>
      </c>
      <c r="G98" s="16" t="s">
        <v>60</v>
      </c>
      <c r="H98" s="8" t="s">
        <v>313</v>
      </c>
      <c r="I98" s="8" t="s">
        <v>315</v>
      </c>
      <c r="J98" s="8" t="s">
        <v>309</v>
      </c>
      <c r="K98" s="8" t="s">
        <v>52</v>
      </c>
      <c r="L98" s="8"/>
      <c r="M98" s="8"/>
      <c r="N98" s="11" t="s">
        <v>53</v>
      </c>
      <c r="O98" s="12" t="s">
        <v>63</v>
      </c>
      <c r="P98" s="15" t="s">
        <v>58</v>
      </c>
      <c r="Q98" s="22" t="s">
        <v>311</v>
      </c>
    </row>
    <row r="99" spans="1:17" ht="27.75" customHeight="1">
      <c r="A99" s="8">
        <v>98</v>
      </c>
      <c r="B99" s="8" t="s">
        <v>305</v>
      </c>
      <c r="C99" s="16" t="s">
        <v>260</v>
      </c>
      <c r="D99" s="8" t="s">
        <v>306</v>
      </c>
      <c r="E99" s="8" t="s">
        <v>46</v>
      </c>
      <c r="F99" s="8" t="s">
        <v>65</v>
      </c>
      <c r="G99" s="17" t="s">
        <v>66</v>
      </c>
      <c r="H99" s="8" t="s">
        <v>316</v>
      </c>
      <c r="I99" s="8" t="s">
        <v>317</v>
      </c>
      <c r="J99" s="8" t="s">
        <v>309</v>
      </c>
      <c r="K99" s="8" t="s">
        <v>52</v>
      </c>
      <c r="L99" s="8"/>
      <c r="M99" s="8"/>
      <c r="N99" s="23" t="s">
        <v>243</v>
      </c>
      <c r="O99" s="12" t="s">
        <v>318</v>
      </c>
      <c r="P99" s="15" t="s">
        <v>58</v>
      </c>
      <c r="Q99" s="14" t="s">
        <v>235</v>
      </c>
    </row>
    <row r="100" spans="1:17" ht="27.75" customHeight="1">
      <c r="A100" s="8">
        <v>99</v>
      </c>
      <c r="B100" s="8" t="s">
        <v>305</v>
      </c>
      <c r="C100" s="16" t="s">
        <v>260</v>
      </c>
      <c r="D100" s="8" t="s">
        <v>306</v>
      </c>
      <c r="E100" s="8" t="s">
        <v>46</v>
      </c>
      <c r="F100" s="8" t="s">
        <v>65</v>
      </c>
      <c r="G100" s="17" t="s">
        <v>66</v>
      </c>
      <c r="H100" s="8" t="s">
        <v>316</v>
      </c>
      <c r="I100" s="8" t="s">
        <v>319</v>
      </c>
      <c r="J100" s="8" t="s">
        <v>309</v>
      </c>
      <c r="K100" s="8" t="s">
        <v>52</v>
      </c>
      <c r="L100" s="8"/>
      <c r="M100" s="8"/>
      <c r="N100" s="11" t="s">
        <v>53</v>
      </c>
      <c r="O100" s="12" t="s">
        <v>69</v>
      </c>
      <c r="P100" s="15" t="s">
        <v>58</v>
      </c>
      <c r="Q100" s="22" t="s">
        <v>311</v>
      </c>
    </row>
    <row r="101" spans="1:17" ht="27.75" customHeight="1">
      <c r="A101" s="8">
        <v>100</v>
      </c>
      <c r="B101" s="8" t="s">
        <v>320</v>
      </c>
      <c r="C101" s="16" t="s">
        <v>260</v>
      </c>
      <c r="D101" s="8" t="s">
        <v>321</v>
      </c>
      <c r="E101" s="8" t="s">
        <v>46</v>
      </c>
      <c r="F101" s="8" t="s">
        <v>47</v>
      </c>
      <c r="G101" s="10" t="s">
        <v>48</v>
      </c>
      <c r="H101" s="8" t="s">
        <v>322</v>
      </c>
      <c r="I101" s="8" t="s">
        <v>323</v>
      </c>
      <c r="J101" s="8" t="s">
        <v>324</v>
      </c>
      <c r="K101" s="8" t="s">
        <v>52</v>
      </c>
      <c r="L101" s="8"/>
      <c r="M101" s="8"/>
      <c r="N101" s="18" t="s">
        <v>194</v>
      </c>
      <c r="O101" s="12" t="s">
        <v>325</v>
      </c>
      <c r="P101" s="15" t="s">
        <v>58</v>
      </c>
      <c r="Q101" s="22" t="s">
        <v>326</v>
      </c>
    </row>
    <row r="102" spans="1:17" ht="27.75" customHeight="1">
      <c r="A102" s="8">
        <v>101</v>
      </c>
      <c r="B102" s="8" t="s">
        <v>320</v>
      </c>
      <c r="C102" s="16" t="s">
        <v>260</v>
      </c>
      <c r="D102" s="8" t="s">
        <v>321</v>
      </c>
      <c r="E102" s="8" t="s">
        <v>46</v>
      </c>
      <c r="F102" s="8" t="s">
        <v>47</v>
      </c>
      <c r="G102" s="10" t="s">
        <v>48</v>
      </c>
      <c r="H102" s="8" t="s">
        <v>322</v>
      </c>
      <c r="I102" s="8" t="s">
        <v>327</v>
      </c>
      <c r="J102" s="8" t="s">
        <v>324</v>
      </c>
      <c r="K102" s="8" t="s">
        <v>52</v>
      </c>
      <c r="L102" s="8"/>
      <c r="M102" s="8"/>
      <c r="N102" s="11" t="s">
        <v>53</v>
      </c>
      <c r="O102" s="12" t="s">
        <v>54</v>
      </c>
      <c r="P102" s="15" t="s">
        <v>58</v>
      </c>
      <c r="Q102" s="22" t="s">
        <v>326</v>
      </c>
    </row>
    <row r="103" spans="1:17" ht="27.75" customHeight="1">
      <c r="A103" s="8">
        <v>102</v>
      </c>
      <c r="B103" s="8" t="s">
        <v>320</v>
      </c>
      <c r="C103" s="16" t="s">
        <v>260</v>
      </c>
      <c r="D103" s="8" t="s">
        <v>321</v>
      </c>
      <c r="E103" s="8" t="s">
        <v>46</v>
      </c>
      <c r="F103" s="8" t="s">
        <v>59</v>
      </c>
      <c r="G103" s="16" t="s">
        <v>60</v>
      </c>
      <c r="H103" s="8" t="s">
        <v>328</v>
      </c>
      <c r="I103" s="8" t="s">
        <v>329</v>
      </c>
      <c r="J103" s="8" t="s">
        <v>324</v>
      </c>
      <c r="K103" s="8" t="s">
        <v>52</v>
      </c>
      <c r="L103" s="8"/>
      <c r="M103" s="8"/>
      <c r="N103" s="18" t="s">
        <v>194</v>
      </c>
      <c r="O103" s="12" t="s">
        <v>330</v>
      </c>
      <c r="P103" s="15" t="s">
        <v>58</v>
      </c>
      <c r="Q103" s="22" t="s">
        <v>326</v>
      </c>
    </row>
    <row r="104" spans="1:17" ht="27.75" customHeight="1">
      <c r="A104" s="8">
        <v>103</v>
      </c>
      <c r="B104" s="8" t="s">
        <v>320</v>
      </c>
      <c r="C104" s="16" t="s">
        <v>260</v>
      </c>
      <c r="D104" s="8" t="s">
        <v>321</v>
      </c>
      <c r="E104" s="8" t="s">
        <v>46</v>
      </c>
      <c r="F104" s="8" t="s">
        <v>59</v>
      </c>
      <c r="G104" s="16" t="s">
        <v>60</v>
      </c>
      <c r="H104" s="8" t="s">
        <v>328</v>
      </c>
      <c r="I104" s="8" t="s">
        <v>331</v>
      </c>
      <c r="J104" s="8" t="s">
        <v>324</v>
      </c>
      <c r="K104" s="8" t="s">
        <v>52</v>
      </c>
      <c r="L104" s="8"/>
      <c r="M104" s="8"/>
      <c r="N104" s="11" t="s">
        <v>53</v>
      </c>
      <c r="O104" s="12" t="s">
        <v>63</v>
      </c>
      <c r="P104" s="15" t="s">
        <v>58</v>
      </c>
      <c r="Q104" s="22" t="s">
        <v>326</v>
      </c>
    </row>
    <row r="105" spans="1:17" ht="27.75" customHeight="1">
      <c r="A105" s="8">
        <v>104</v>
      </c>
      <c r="B105" s="8" t="s">
        <v>320</v>
      </c>
      <c r="C105" s="16" t="s">
        <v>260</v>
      </c>
      <c r="D105" s="8" t="s">
        <v>321</v>
      </c>
      <c r="E105" s="8" t="s">
        <v>46</v>
      </c>
      <c r="F105" s="8" t="s">
        <v>65</v>
      </c>
      <c r="G105" s="17" t="s">
        <v>66</v>
      </c>
      <c r="H105" s="8" t="s">
        <v>332</v>
      </c>
      <c r="I105" s="8" t="s">
        <v>333</v>
      </c>
      <c r="J105" s="8" t="s">
        <v>324</v>
      </c>
      <c r="K105" s="8" t="s">
        <v>52</v>
      </c>
      <c r="L105" s="8"/>
      <c r="M105" s="8"/>
      <c r="N105" s="18" t="s">
        <v>194</v>
      </c>
      <c r="O105" s="12" t="s">
        <v>334</v>
      </c>
      <c r="P105" s="15" t="s">
        <v>58</v>
      </c>
      <c r="Q105" s="22" t="s">
        <v>326</v>
      </c>
    </row>
    <row r="106" spans="1:17" ht="27.75" customHeight="1">
      <c r="A106" s="8">
        <v>105</v>
      </c>
      <c r="B106" s="8" t="s">
        <v>335</v>
      </c>
      <c r="C106" s="26" t="s">
        <v>336</v>
      </c>
      <c r="D106" s="8" t="s">
        <v>337</v>
      </c>
      <c r="E106" s="8" t="s">
        <v>46</v>
      </c>
      <c r="F106" s="8" t="s">
        <v>47</v>
      </c>
      <c r="G106" s="10" t="s">
        <v>48</v>
      </c>
      <c r="H106" s="8" t="s">
        <v>338</v>
      </c>
      <c r="I106" s="8" t="s">
        <v>339</v>
      </c>
      <c r="J106" s="8" t="s">
        <v>340</v>
      </c>
      <c r="K106" s="8" t="s">
        <v>52</v>
      </c>
      <c r="L106" s="8"/>
      <c r="M106" s="8"/>
      <c r="N106" s="11" t="s">
        <v>135</v>
      </c>
      <c r="O106" s="12" t="s">
        <v>341</v>
      </c>
      <c r="P106" s="15" t="s">
        <v>58</v>
      </c>
      <c r="Q106" s="14" t="s">
        <v>196</v>
      </c>
    </row>
    <row r="107" spans="1:17" ht="27.75" customHeight="1">
      <c r="A107" s="8">
        <v>106</v>
      </c>
      <c r="B107" s="8" t="s">
        <v>335</v>
      </c>
      <c r="C107" s="26" t="s">
        <v>336</v>
      </c>
      <c r="D107" s="8" t="s">
        <v>337</v>
      </c>
      <c r="E107" s="8" t="s">
        <v>46</v>
      </c>
      <c r="F107" s="8" t="s">
        <v>47</v>
      </c>
      <c r="G107" s="10" t="s">
        <v>48</v>
      </c>
      <c r="H107" s="8" t="s">
        <v>338</v>
      </c>
      <c r="I107" s="8" t="s">
        <v>342</v>
      </c>
      <c r="J107" s="8" t="s">
        <v>340</v>
      </c>
      <c r="K107" s="8" t="s">
        <v>52</v>
      </c>
      <c r="L107" s="8"/>
      <c r="M107" s="8"/>
      <c r="N107" s="11" t="s">
        <v>53</v>
      </c>
      <c r="O107" s="12" t="s">
        <v>54</v>
      </c>
      <c r="P107" s="15" t="s">
        <v>58</v>
      </c>
      <c r="Q107" s="14" t="s">
        <v>196</v>
      </c>
    </row>
    <row r="108" spans="1:17" ht="27.75" customHeight="1">
      <c r="A108" s="8">
        <v>107</v>
      </c>
      <c r="B108" s="8" t="s">
        <v>335</v>
      </c>
      <c r="C108" s="26" t="s">
        <v>336</v>
      </c>
      <c r="D108" s="8" t="s">
        <v>337</v>
      </c>
      <c r="E108" s="8" t="s">
        <v>46</v>
      </c>
      <c r="F108" s="8" t="s">
        <v>59</v>
      </c>
      <c r="G108" s="16" t="s">
        <v>60</v>
      </c>
      <c r="H108" s="8" t="s">
        <v>343</v>
      </c>
      <c r="I108" s="8" t="s">
        <v>344</v>
      </c>
      <c r="J108" s="8" t="s">
        <v>340</v>
      </c>
      <c r="K108" s="8" t="s">
        <v>52</v>
      </c>
      <c r="L108" s="8"/>
      <c r="M108" s="8"/>
      <c r="N108" s="11" t="s">
        <v>53</v>
      </c>
      <c r="O108" s="12" t="s">
        <v>63</v>
      </c>
      <c r="P108" s="15" t="s">
        <v>58</v>
      </c>
      <c r="Q108" s="14" t="s">
        <v>196</v>
      </c>
    </row>
    <row r="109" spans="1:17" ht="27.75" customHeight="1">
      <c r="A109" s="8">
        <v>108</v>
      </c>
      <c r="B109" s="8" t="s">
        <v>335</v>
      </c>
      <c r="C109" s="26" t="s">
        <v>336</v>
      </c>
      <c r="D109" s="8" t="s">
        <v>337</v>
      </c>
      <c r="E109" s="8" t="s">
        <v>46</v>
      </c>
      <c r="F109" s="8" t="s">
        <v>59</v>
      </c>
      <c r="G109" s="16" t="s">
        <v>60</v>
      </c>
      <c r="H109" s="8" t="s">
        <v>343</v>
      </c>
      <c r="I109" s="8" t="s">
        <v>345</v>
      </c>
      <c r="J109" s="8" t="s">
        <v>340</v>
      </c>
      <c r="K109" s="8" t="s">
        <v>52</v>
      </c>
      <c r="L109" s="8"/>
      <c r="M109" s="8"/>
      <c r="N109" s="11" t="s">
        <v>53</v>
      </c>
      <c r="O109" s="12" t="s">
        <v>63</v>
      </c>
      <c r="P109" s="15" t="s">
        <v>58</v>
      </c>
      <c r="Q109" s="14" t="s">
        <v>196</v>
      </c>
    </row>
    <row r="110" spans="1:17" ht="27.75" customHeight="1">
      <c r="A110" s="8">
        <v>109</v>
      </c>
      <c r="B110" s="8" t="s">
        <v>335</v>
      </c>
      <c r="C110" s="26" t="s">
        <v>336</v>
      </c>
      <c r="D110" s="8" t="s">
        <v>337</v>
      </c>
      <c r="E110" s="8" t="s">
        <v>46</v>
      </c>
      <c r="F110" s="8" t="s">
        <v>65</v>
      </c>
      <c r="G110" s="17" t="s">
        <v>66</v>
      </c>
      <c r="H110" s="8" t="s">
        <v>346</v>
      </c>
      <c r="I110" s="8" t="s">
        <v>347</v>
      </c>
      <c r="J110" s="8" t="s">
        <v>340</v>
      </c>
      <c r="K110" s="8" t="s">
        <v>52</v>
      </c>
      <c r="L110" s="8"/>
      <c r="M110" s="8"/>
      <c r="N110" s="11" t="s">
        <v>53</v>
      </c>
      <c r="O110" s="12" t="s">
        <v>69</v>
      </c>
      <c r="P110" s="13" t="s">
        <v>348</v>
      </c>
      <c r="Q110" s="14" t="s">
        <v>196</v>
      </c>
    </row>
    <row r="111" spans="1:17" ht="27.75" customHeight="1">
      <c r="A111" s="8">
        <v>110</v>
      </c>
      <c r="B111" s="8" t="s">
        <v>335</v>
      </c>
      <c r="C111" s="26" t="s">
        <v>336</v>
      </c>
      <c r="D111" s="8" t="s">
        <v>337</v>
      </c>
      <c r="E111" s="8" t="s">
        <v>46</v>
      </c>
      <c r="F111" s="8" t="s">
        <v>65</v>
      </c>
      <c r="G111" s="17" t="s">
        <v>66</v>
      </c>
      <c r="H111" s="8" t="s">
        <v>346</v>
      </c>
      <c r="I111" s="8" t="s">
        <v>349</v>
      </c>
      <c r="J111" s="8" t="s">
        <v>340</v>
      </c>
      <c r="K111" s="8" t="s">
        <v>52</v>
      </c>
      <c r="L111" s="8"/>
      <c r="M111" s="8"/>
      <c r="N111" s="11" t="s">
        <v>53</v>
      </c>
      <c r="O111" s="12" t="s">
        <v>69</v>
      </c>
      <c r="P111" s="15" t="s">
        <v>58</v>
      </c>
      <c r="Q111" s="14" t="s">
        <v>196</v>
      </c>
    </row>
    <row r="112" spans="1:17" ht="27.75" customHeight="1">
      <c r="A112" s="8">
        <v>111</v>
      </c>
      <c r="B112" s="8" t="s">
        <v>350</v>
      </c>
      <c r="C112" s="26" t="s">
        <v>336</v>
      </c>
      <c r="D112" s="8" t="s">
        <v>351</v>
      </c>
      <c r="E112" s="8" t="s">
        <v>46</v>
      </c>
      <c r="F112" s="8" t="s">
        <v>47</v>
      </c>
      <c r="G112" s="10" t="s">
        <v>48</v>
      </c>
      <c r="H112" s="8" t="s">
        <v>352</v>
      </c>
      <c r="I112" s="8" t="s">
        <v>353</v>
      </c>
      <c r="J112" s="8" t="s">
        <v>354</v>
      </c>
      <c r="K112" s="8" t="s">
        <v>52</v>
      </c>
      <c r="L112" s="8"/>
      <c r="M112" s="8"/>
      <c r="N112" s="11" t="s">
        <v>53</v>
      </c>
      <c r="O112" s="12" t="s">
        <v>54</v>
      </c>
      <c r="P112" s="15" t="s">
        <v>58</v>
      </c>
      <c r="Q112" s="14" t="s">
        <v>355</v>
      </c>
    </row>
    <row r="113" spans="1:17" ht="15" customHeight="1">
      <c r="A113" s="8">
        <v>112</v>
      </c>
      <c r="B113" s="8" t="s">
        <v>350</v>
      </c>
      <c r="C113" s="26" t="s">
        <v>336</v>
      </c>
      <c r="D113" s="8" t="s">
        <v>351</v>
      </c>
      <c r="E113" s="8" t="s">
        <v>46</v>
      </c>
      <c r="F113" s="8" t="s">
        <v>47</v>
      </c>
      <c r="G113" s="10" t="s">
        <v>48</v>
      </c>
      <c r="H113" s="8" t="s">
        <v>352</v>
      </c>
      <c r="I113" s="8" t="s">
        <v>356</v>
      </c>
      <c r="J113" s="8" t="s">
        <v>354</v>
      </c>
      <c r="K113" s="8" t="s">
        <v>52</v>
      </c>
      <c r="L113" s="8"/>
      <c r="M113" s="8"/>
      <c r="N113" s="11" t="s">
        <v>53</v>
      </c>
      <c r="O113" s="12" t="s">
        <v>54</v>
      </c>
      <c r="P113" s="15" t="s">
        <v>58</v>
      </c>
      <c r="Q113" s="14" t="s">
        <v>355</v>
      </c>
    </row>
    <row r="114" spans="1:17" ht="27.75" customHeight="1">
      <c r="A114" s="8">
        <v>113</v>
      </c>
      <c r="B114" s="8" t="s">
        <v>350</v>
      </c>
      <c r="C114" s="26" t="s">
        <v>336</v>
      </c>
      <c r="D114" s="8" t="s">
        <v>351</v>
      </c>
      <c r="E114" s="8" t="s">
        <v>46</v>
      </c>
      <c r="F114" s="8" t="s">
        <v>59</v>
      </c>
      <c r="G114" s="16" t="s">
        <v>60</v>
      </c>
      <c r="H114" s="8" t="s">
        <v>357</v>
      </c>
      <c r="I114" s="8" t="s">
        <v>358</v>
      </c>
      <c r="J114" s="8" t="s">
        <v>354</v>
      </c>
      <c r="K114" s="8" t="s">
        <v>52</v>
      </c>
      <c r="L114" s="8"/>
      <c r="M114" s="8"/>
      <c r="N114" s="11" t="s">
        <v>53</v>
      </c>
      <c r="O114" s="12" t="s">
        <v>63</v>
      </c>
      <c r="P114" s="15" t="s">
        <v>58</v>
      </c>
      <c r="Q114" s="14" t="s">
        <v>355</v>
      </c>
    </row>
    <row r="115" spans="1:17" ht="27.75" customHeight="1">
      <c r="A115" s="8">
        <v>114</v>
      </c>
      <c r="B115" s="8" t="s">
        <v>350</v>
      </c>
      <c r="C115" s="26" t="s">
        <v>336</v>
      </c>
      <c r="D115" s="8" t="s">
        <v>351</v>
      </c>
      <c r="E115" s="8" t="s">
        <v>46</v>
      </c>
      <c r="F115" s="8" t="s">
        <v>59</v>
      </c>
      <c r="G115" s="16" t="s">
        <v>60</v>
      </c>
      <c r="H115" s="8" t="s">
        <v>357</v>
      </c>
      <c r="I115" s="8" t="s">
        <v>359</v>
      </c>
      <c r="J115" s="8" t="s">
        <v>354</v>
      </c>
      <c r="K115" s="8" t="s">
        <v>52</v>
      </c>
      <c r="L115" s="8"/>
      <c r="M115" s="8"/>
      <c r="N115" s="11" t="s">
        <v>53</v>
      </c>
      <c r="O115" s="12" t="s">
        <v>63</v>
      </c>
      <c r="P115" s="15" t="s">
        <v>58</v>
      </c>
      <c r="Q115" s="14" t="s">
        <v>355</v>
      </c>
    </row>
    <row r="116" spans="1:17" ht="27.75" customHeight="1">
      <c r="A116" s="8">
        <v>115</v>
      </c>
      <c r="B116" s="8" t="s">
        <v>350</v>
      </c>
      <c r="C116" s="26" t="s">
        <v>336</v>
      </c>
      <c r="D116" s="8" t="s">
        <v>351</v>
      </c>
      <c r="E116" s="8" t="s">
        <v>46</v>
      </c>
      <c r="F116" s="8" t="s">
        <v>65</v>
      </c>
      <c r="G116" s="17" t="s">
        <v>66</v>
      </c>
      <c r="H116" s="8" t="s">
        <v>332</v>
      </c>
      <c r="I116" s="8" t="s">
        <v>360</v>
      </c>
      <c r="J116" s="8" t="s">
        <v>354</v>
      </c>
      <c r="K116" s="8" t="s">
        <v>52</v>
      </c>
      <c r="L116" s="8"/>
      <c r="M116" s="8"/>
      <c r="N116" s="11" t="s">
        <v>53</v>
      </c>
      <c r="O116" s="12" t="s">
        <v>69</v>
      </c>
      <c r="P116" s="15" t="s">
        <v>58</v>
      </c>
      <c r="Q116" s="14" t="s">
        <v>355</v>
      </c>
    </row>
    <row r="117" spans="1:17" ht="27.75" customHeight="1">
      <c r="A117" s="8">
        <v>116</v>
      </c>
      <c r="B117" s="8" t="s">
        <v>361</v>
      </c>
      <c r="C117" s="26" t="s">
        <v>336</v>
      </c>
      <c r="D117" s="8" t="s">
        <v>362</v>
      </c>
      <c r="E117" s="8" t="s">
        <v>46</v>
      </c>
      <c r="F117" s="8" t="s">
        <v>47</v>
      </c>
      <c r="G117" s="10" t="s">
        <v>48</v>
      </c>
      <c r="H117" s="8" t="s">
        <v>363</v>
      </c>
      <c r="I117" s="8" t="s">
        <v>364</v>
      </c>
      <c r="J117" s="8" t="s">
        <v>365</v>
      </c>
      <c r="K117" s="8" t="s">
        <v>52</v>
      </c>
      <c r="L117" s="8"/>
      <c r="M117" s="8"/>
      <c r="N117" s="11" t="s">
        <v>53</v>
      </c>
      <c r="O117" s="12" t="s">
        <v>54</v>
      </c>
      <c r="P117" s="15" t="s">
        <v>58</v>
      </c>
      <c r="Q117" s="14" t="s">
        <v>366</v>
      </c>
    </row>
    <row r="118" spans="1:17" ht="27.75" customHeight="1">
      <c r="A118" s="8">
        <v>117</v>
      </c>
      <c r="B118" s="8" t="s">
        <v>361</v>
      </c>
      <c r="C118" s="26" t="s">
        <v>336</v>
      </c>
      <c r="D118" s="8" t="s">
        <v>362</v>
      </c>
      <c r="E118" s="8" t="s">
        <v>46</v>
      </c>
      <c r="F118" s="8" t="s">
        <v>47</v>
      </c>
      <c r="G118" s="10" t="s">
        <v>48</v>
      </c>
      <c r="H118" s="8" t="s">
        <v>363</v>
      </c>
      <c r="I118" s="8" t="s">
        <v>367</v>
      </c>
      <c r="J118" s="8" t="s">
        <v>365</v>
      </c>
      <c r="K118" s="8" t="s">
        <v>52</v>
      </c>
      <c r="L118" s="8"/>
      <c r="M118" s="8"/>
      <c r="N118" s="11" t="s">
        <v>53</v>
      </c>
      <c r="O118" s="12" t="s">
        <v>54</v>
      </c>
      <c r="P118" s="15" t="s">
        <v>58</v>
      </c>
      <c r="Q118" s="14" t="s">
        <v>366</v>
      </c>
    </row>
    <row r="119" spans="1:17" ht="27.75" customHeight="1">
      <c r="A119" s="8">
        <v>118</v>
      </c>
      <c r="B119" s="8" t="s">
        <v>361</v>
      </c>
      <c r="C119" s="26" t="s">
        <v>336</v>
      </c>
      <c r="D119" s="8" t="s">
        <v>362</v>
      </c>
      <c r="E119" s="8" t="s">
        <v>46</v>
      </c>
      <c r="F119" s="8" t="s">
        <v>59</v>
      </c>
      <c r="G119" s="16" t="s">
        <v>60</v>
      </c>
      <c r="H119" s="8" t="s">
        <v>368</v>
      </c>
      <c r="I119" s="8" t="s">
        <v>369</v>
      </c>
      <c r="J119" s="8" t="s">
        <v>365</v>
      </c>
      <c r="K119" s="8" t="s">
        <v>52</v>
      </c>
      <c r="L119" s="8"/>
      <c r="M119" s="8"/>
      <c r="N119" s="11" t="s">
        <v>53</v>
      </c>
      <c r="O119" s="12" t="s">
        <v>63</v>
      </c>
      <c r="P119" s="15" t="s">
        <v>58</v>
      </c>
      <c r="Q119" s="14" t="s">
        <v>366</v>
      </c>
    </row>
    <row r="120" spans="1:17" ht="27.75" customHeight="1">
      <c r="A120" s="8">
        <v>119</v>
      </c>
      <c r="B120" s="8" t="s">
        <v>361</v>
      </c>
      <c r="C120" s="26" t="s">
        <v>336</v>
      </c>
      <c r="D120" s="8" t="s">
        <v>362</v>
      </c>
      <c r="E120" s="8" t="s">
        <v>46</v>
      </c>
      <c r="F120" s="8" t="s">
        <v>59</v>
      </c>
      <c r="G120" s="16" t="s">
        <v>60</v>
      </c>
      <c r="H120" s="8" t="s">
        <v>368</v>
      </c>
      <c r="I120" s="8" t="s">
        <v>370</v>
      </c>
      <c r="J120" s="8" t="s">
        <v>365</v>
      </c>
      <c r="K120" s="8" t="s">
        <v>52</v>
      </c>
      <c r="L120" s="8"/>
      <c r="M120" s="8"/>
      <c r="N120" s="18" t="s">
        <v>194</v>
      </c>
      <c r="O120" s="12" t="s">
        <v>371</v>
      </c>
      <c r="P120" s="15" t="s">
        <v>58</v>
      </c>
      <c r="Q120" s="14" t="s">
        <v>285</v>
      </c>
    </row>
    <row r="121" spans="1:17" ht="27.75" customHeight="1">
      <c r="A121" s="8">
        <v>120</v>
      </c>
      <c r="B121" s="8" t="s">
        <v>361</v>
      </c>
      <c r="C121" s="26" t="s">
        <v>336</v>
      </c>
      <c r="D121" s="8" t="s">
        <v>362</v>
      </c>
      <c r="E121" s="8" t="s">
        <v>46</v>
      </c>
      <c r="F121" s="8" t="s">
        <v>65</v>
      </c>
      <c r="G121" s="17" t="s">
        <v>66</v>
      </c>
      <c r="H121" s="8" t="s">
        <v>372</v>
      </c>
      <c r="I121" s="8" t="s">
        <v>373</v>
      </c>
      <c r="J121" s="8" t="s">
        <v>365</v>
      </c>
      <c r="K121" s="8" t="s">
        <v>52</v>
      </c>
      <c r="L121" s="8"/>
      <c r="M121" s="8"/>
      <c r="N121" s="18" t="s">
        <v>194</v>
      </c>
      <c r="O121" s="12" t="s">
        <v>374</v>
      </c>
      <c r="P121" s="15" t="s">
        <v>58</v>
      </c>
      <c r="Q121" s="14" t="s">
        <v>366</v>
      </c>
    </row>
    <row r="122" spans="1:17" ht="27.75" customHeight="1">
      <c r="A122" s="8">
        <v>121</v>
      </c>
      <c r="B122" s="8" t="s">
        <v>375</v>
      </c>
      <c r="C122" s="26" t="s">
        <v>336</v>
      </c>
      <c r="D122" s="8" t="s">
        <v>376</v>
      </c>
      <c r="E122" s="8" t="s">
        <v>46</v>
      </c>
      <c r="F122" s="8" t="s">
        <v>47</v>
      </c>
      <c r="G122" s="10" t="s">
        <v>48</v>
      </c>
      <c r="H122" s="8" t="s">
        <v>377</v>
      </c>
      <c r="I122" s="8" t="s">
        <v>378</v>
      </c>
      <c r="J122" s="8" t="s">
        <v>379</v>
      </c>
      <c r="K122" s="8" t="s">
        <v>52</v>
      </c>
      <c r="L122" s="8"/>
      <c r="M122" s="8"/>
      <c r="N122" s="11" t="s">
        <v>53</v>
      </c>
      <c r="O122" s="12" t="s">
        <v>54</v>
      </c>
      <c r="P122" s="15" t="s">
        <v>58</v>
      </c>
      <c r="Q122" s="22" t="s">
        <v>380</v>
      </c>
    </row>
    <row r="123" spans="1:17" ht="27.75" customHeight="1">
      <c r="A123" s="8">
        <v>122</v>
      </c>
      <c r="B123" s="8" t="s">
        <v>375</v>
      </c>
      <c r="C123" s="26" t="s">
        <v>336</v>
      </c>
      <c r="D123" s="8" t="s">
        <v>376</v>
      </c>
      <c r="E123" s="8" t="s">
        <v>46</v>
      </c>
      <c r="F123" s="8" t="s">
        <v>47</v>
      </c>
      <c r="G123" s="10" t="s">
        <v>48</v>
      </c>
      <c r="H123" s="8" t="s">
        <v>377</v>
      </c>
      <c r="I123" s="8" t="s">
        <v>381</v>
      </c>
      <c r="J123" s="8" t="s">
        <v>379</v>
      </c>
      <c r="K123" s="8" t="s">
        <v>52</v>
      </c>
      <c r="L123" s="8"/>
      <c r="M123" s="8"/>
      <c r="N123" s="11" t="s">
        <v>53</v>
      </c>
      <c r="O123" s="12" t="s">
        <v>54</v>
      </c>
      <c r="P123" s="15" t="s">
        <v>58</v>
      </c>
      <c r="Q123" s="22" t="s">
        <v>380</v>
      </c>
    </row>
    <row r="124" spans="1:17" ht="27.75" customHeight="1">
      <c r="A124" s="8">
        <v>123</v>
      </c>
      <c r="B124" s="8" t="s">
        <v>375</v>
      </c>
      <c r="C124" s="26" t="s">
        <v>336</v>
      </c>
      <c r="D124" s="8" t="s">
        <v>376</v>
      </c>
      <c r="E124" s="8" t="s">
        <v>46</v>
      </c>
      <c r="F124" s="8" t="s">
        <v>59</v>
      </c>
      <c r="G124" s="16" t="s">
        <v>60</v>
      </c>
      <c r="H124" s="8" t="s">
        <v>382</v>
      </c>
      <c r="I124" s="8" t="s">
        <v>383</v>
      </c>
      <c r="J124" s="8" t="s">
        <v>379</v>
      </c>
      <c r="K124" s="8" t="s">
        <v>52</v>
      </c>
      <c r="L124" s="8"/>
      <c r="M124" s="8"/>
      <c r="N124" s="11" t="s">
        <v>53</v>
      </c>
      <c r="O124" s="12" t="s">
        <v>63</v>
      </c>
      <c r="P124" s="15" t="s">
        <v>58</v>
      </c>
      <c r="Q124" s="22" t="s">
        <v>380</v>
      </c>
    </row>
    <row r="125" spans="1:17" ht="27.75" customHeight="1">
      <c r="A125" s="8">
        <v>124</v>
      </c>
      <c r="B125" s="8" t="s">
        <v>375</v>
      </c>
      <c r="C125" s="26" t="s">
        <v>336</v>
      </c>
      <c r="D125" s="8" t="s">
        <v>376</v>
      </c>
      <c r="E125" s="8" t="s">
        <v>46</v>
      </c>
      <c r="F125" s="8" t="s">
        <v>59</v>
      </c>
      <c r="G125" s="16" t="s">
        <v>60</v>
      </c>
      <c r="H125" s="8" t="s">
        <v>382</v>
      </c>
      <c r="I125" s="8" t="s">
        <v>384</v>
      </c>
      <c r="J125" s="8" t="s">
        <v>379</v>
      </c>
      <c r="K125" s="8" t="s">
        <v>52</v>
      </c>
      <c r="L125" s="8"/>
      <c r="M125" s="8"/>
      <c r="N125" s="11" t="s">
        <v>53</v>
      </c>
      <c r="O125" s="12" t="s">
        <v>63</v>
      </c>
      <c r="P125" s="15" t="s">
        <v>58</v>
      </c>
      <c r="Q125" s="22" t="s">
        <v>380</v>
      </c>
    </row>
    <row r="126" spans="1:17" ht="27.75" customHeight="1">
      <c r="A126" s="8">
        <v>125</v>
      </c>
      <c r="B126" s="8" t="s">
        <v>375</v>
      </c>
      <c r="C126" s="26" t="s">
        <v>336</v>
      </c>
      <c r="D126" s="8" t="s">
        <v>376</v>
      </c>
      <c r="E126" s="8" t="s">
        <v>46</v>
      </c>
      <c r="F126" s="8" t="s">
        <v>65</v>
      </c>
      <c r="G126" s="17" t="s">
        <v>66</v>
      </c>
      <c r="H126" s="8" t="s">
        <v>385</v>
      </c>
      <c r="I126" s="8" t="s">
        <v>386</v>
      </c>
      <c r="J126" s="8" t="s">
        <v>379</v>
      </c>
      <c r="K126" s="8" t="s">
        <v>52</v>
      </c>
      <c r="L126" s="8"/>
      <c r="M126" s="8"/>
      <c r="N126" s="11" t="s">
        <v>53</v>
      </c>
      <c r="O126" s="12" t="s">
        <v>69</v>
      </c>
      <c r="P126" s="15" t="s">
        <v>58</v>
      </c>
      <c r="Q126" s="22" t="s">
        <v>380</v>
      </c>
    </row>
    <row r="127" spans="1:17" ht="27.75" customHeight="1">
      <c r="A127" s="8">
        <v>126</v>
      </c>
      <c r="B127" s="8" t="s">
        <v>387</v>
      </c>
      <c r="C127" s="26" t="s">
        <v>336</v>
      </c>
      <c r="D127" s="8" t="s">
        <v>388</v>
      </c>
      <c r="E127" s="8" t="s">
        <v>46</v>
      </c>
      <c r="F127" s="8" t="s">
        <v>47</v>
      </c>
      <c r="G127" s="10" t="s">
        <v>48</v>
      </c>
      <c r="H127" s="8" t="s">
        <v>389</v>
      </c>
      <c r="I127" s="8" t="s">
        <v>390</v>
      </c>
      <c r="J127" s="8" t="s">
        <v>391</v>
      </c>
      <c r="K127" s="8" t="s">
        <v>52</v>
      </c>
      <c r="L127" s="8"/>
      <c r="M127" s="8"/>
      <c r="N127" s="11" t="s">
        <v>53</v>
      </c>
      <c r="O127" s="12" t="s">
        <v>54</v>
      </c>
      <c r="P127" s="15" t="s">
        <v>58</v>
      </c>
      <c r="Q127" s="21" t="s">
        <v>189</v>
      </c>
    </row>
    <row r="128" spans="1:17" ht="27.75" customHeight="1">
      <c r="A128" s="8">
        <v>127</v>
      </c>
      <c r="B128" s="8" t="s">
        <v>387</v>
      </c>
      <c r="C128" s="26" t="s">
        <v>336</v>
      </c>
      <c r="D128" s="8" t="s">
        <v>388</v>
      </c>
      <c r="E128" s="8" t="s">
        <v>46</v>
      </c>
      <c r="F128" s="8" t="s">
        <v>47</v>
      </c>
      <c r="G128" s="10" t="s">
        <v>48</v>
      </c>
      <c r="H128" s="8" t="s">
        <v>389</v>
      </c>
      <c r="I128" s="8" t="s">
        <v>392</v>
      </c>
      <c r="J128" s="8" t="s">
        <v>391</v>
      </c>
      <c r="K128" s="8" t="s">
        <v>52</v>
      </c>
      <c r="L128" s="8"/>
      <c r="M128" s="8"/>
      <c r="N128" s="11" t="s">
        <v>53</v>
      </c>
      <c r="O128" s="12" t="s">
        <v>54</v>
      </c>
      <c r="P128" s="15" t="s">
        <v>58</v>
      </c>
      <c r="Q128" s="21" t="s">
        <v>189</v>
      </c>
    </row>
    <row r="129" spans="1:17" ht="27.75" customHeight="1">
      <c r="A129" s="8">
        <v>128</v>
      </c>
      <c r="B129" s="8" t="s">
        <v>387</v>
      </c>
      <c r="C129" s="26" t="s">
        <v>336</v>
      </c>
      <c r="D129" s="8" t="s">
        <v>388</v>
      </c>
      <c r="E129" s="8" t="s">
        <v>46</v>
      </c>
      <c r="F129" s="8" t="s">
        <v>59</v>
      </c>
      <c r="G129" s="16" t="s">
        <v>60</v>
      </c>
      <c r="H129" s="8" t="s">
        <v>393</v>
      </c>
      <c r="I129" s="8" t="s">
        <v>394</v>
      </c>
      <c r="J129" s="8" t="s">
        <v>391</v>
      </c>
      <c r="K129" s="8" t="s">
        <v>52</v>
      </c>
      <c r="L129" s="8"/>
      <c r="M129" s="8"/>
      <c r="N129" s="11" t="s">
        <v>53</v>
      </c>
      <c r="O129" s="12" t="s">
        <v>63</v>
      </c>
      <c r="P129" s="15" t="s">
        <v>58</v>
      </c>
      <c r="Q129" s="21" t="s">
        <v>189</v>
      </c>
    </row>
    <row r="130" spans="1:17" ht="27.75" customHeight="1">
      <c r="A130" s="8">
        <v>129</v>
      </c>
      <c r="B130" s="8" t="s">
        <v>387</v>
      </c>
      <c r="C130" s="26" t="s">
        <v>336</v>
      </c>
      <c r="D130" s="8" t="s">
        <v>388</v>
      </c>
      <c r="E130" s="8" t="s">
        <v>46</v>
      </c>
      <c r="F130" s="8" t="s">
        <v>59</v>
      </c>
      <c r="G130" s="16" t="s">
        <v>60</v>
      </c>
      <c r="H130" s="8" t="s">
        <v>393</v>
      </c>
      <c r="I130" s="8" t="s">
        <v>395</v>
      </c>
      <c r="J130" s="8" t="s">
        <v>391</v>
      </c>
      <c r="K130" s="8" t="s">
        <v>52</v>
      </c>
      <c r="L130" s="8"/>
      <c r="M130" s="8"/>
      <c r="N130" s="11" t="s">
        <v>53</v>
      </c>
      <c r="O130" s="12" t="s">
        <v>63</v>
      </c>
      <c r="P130" s="15" t="s">
        <v>58</v>
      </c>
      <c r="Q130" s="21" t="s">
        <v>189</v>
      </c>
    </row>
    <row r="131" spans="1:17" ht="27.75" customHeight="1">
      <c r="A131" s="8">
        <v>130</v>
      </c>
      <c r="B131" s="8" t="s">
        <v>387</v>
      </c>
      <c r="C131" s="26" t="s">
        <v>336</v>
      </c>
      <c r="D131" s="8" t="s">
        <v>388</v>
      </c>
      <c r="E131" s="8" t="s">
        <v>46</v>
      </c>
      <c r="F131" s="8" t="s">
        <v>65</v>
      </c>
      <c r="G131" s="17" t="s">
        <v>66</v>
      </c>
      <c r="H131" s="8" t="s">
        <v>396</v>
      </c>
      <c r="I131" s="8" t="s">
        <v>397</v>
      </c>
      <c r="J131" s="8" t="s">
        <v>391</v>
      </c>
      <c r="K131" s="8" t="s">
        <v>52</v>
      </c>
      <c r="L131" s="8"/>
      <c r="M131" s="8"/>
      <c r="N131" s="11" t="s">
        <v>53</v>
      </c>
      <c r="O131" s="12" t="s">
        <v>69</v>
      </c>
      <c r="P131" s="15" t="s">
        <v>58</v>
      </c>
      <c r="Q131" s="21" t="s">
        <v>189</v>
      </c>
    </row>
    <row r="132" spans="1:17" ht="27.75" customHeight="1">
      <c r="A132" s="8">
        <v>131</v>
      </c>
      <c r="B132" s="8" t="s">
        <v>398</v>
      </c>
      <c r="C132" s="27" t="s">
        <v>399</v>
      </c>
      <c r="D132" s="8" t="s">
        <v>400</v>
      </c>
      <c r="E132" s="8" t="s">
        <v>262</v>
      </c>
      <c r="F132" s="8" t="s">
        <v>51</v>
      </c>
      <c r="G132" s="24" t="s">
        <v>263</v>
      </c>
      <c r="H132" s="8" t="s">
        <v>51</v>
      </c>
      <c r="I132" s="8" t="s">
        <v>401</v>
      </c>
      <c r="J132" s="8" t="s">
        <v>402</v>
      </c>
      <c r="K132" s="8" t="s">
        <v>52</v>
      </c>
      <c r="L132" s="8"/>
      <c r="M132" s="8"/>
      <c r="N132" s="11" t="s">
        <v>53</v>
      </c>
      <c r="O132" s="12" t="s">
        <v>403</v>
      </c>
      <c r="P132" s="15" t="s">
        <v>58</v>
      </c>
      <c r="Q132" s="21" t="s">
        <v>268</v>
      </c>
    </row>
    <row r="133" spans="1:17" ht="27.75" customHeight="1">
      <c r="A133" s="8">
        <v>132</v>
      </c>
      <c r="B133" s="8" t="s">
        <v>398</v>
      </c>
      <c r="C133" s="27" t="s">
        <v>399</v>
      </c>
      <c r="D133" s="8" t="s">
        <v>400</v>
      </c>
      <c r="E133" s="8" t="s">
        <v>46</v>
      </c>
      <c r="F133" s="8" t="s">
        <v>47</v>
      </c>
      <c r="G133" s="10" t="s">
        <v>48</v>
      </c>
      <c r="H133" s="8" t="s">
        <v>404</v>
      </c>
      <c r="I133" s="8" t="s">
        <v>405</v>
      </c>
      <c r="J133" s="8" t="s">
        <v>402</v>
      </c>
      <c r="K133" s="8" t="s">
        <v>52</v>
      </c>
      <c r="L133" s="8"/>
      <c r="M133" s="8"/>
      <c r="N133" s="11" t="s">
        <v>53</v>
      </c>
      <c r="O133" s="12" t="s">
        <v>54</v>
      </c>
      <c r="P133" s="15" t="s">
        <v>58</v>
      </c>
      <c r="Q133" s="22" t="s">
        <v>326</v>
      </c>
    </row>
    <row r="134" spans="1:17" ht="27.75" customHeight="1">
      <c r="A134" s="8">
        <v>133</v>
      </c>
      <c r="B134" s="8" t="s">
        <v>398</v>
      </c>
      <c r="C134" s="27" t="s">
        <v>399</v>
      </c>
      <c r="D134" s="8" t="s">
        <v>400</v>
      </c>
      <c r="E134" s="8" t="s">
        <v>46</v>
      </c>
      <c r="F134" s="8" t="s">
        <v>47</v>
      </c>
      <c r="G134" s="10" t="s">
        <v>48</v>
      </c>
      <c r="H134" s="8" t="s">
        <v>404</v>
      </c>
      <c r="I134" s="8" t="s">
        <v>406</v>
      </c>
      <c r="J134" s="8" t="s">
        <v>402</v>
      </c>
      <c r="K134" s="8" t="s">
        <v>52</v>
      </c>
      <c r="L134" s="8"/>
      <c r="M134" s="8"/>
      <c r="N134" s="11" t="s">
        <v>53</v>
      </c>
      <c r="O134" s="12" t="s">
        <v>54</v>
      </c>
      <c r="P134" s="15" t="s">
        <v>58</v>
      </c>
      <c r="Q134" s="22" t="s">
        <v>326</v>
      </c>
    </row>
    <row r="135" spans="1:17" ht="27.75" customHeight="1">
      <c r="A135" s="8">
        <v>134</v>
      </c>
      <c r="B135" s="8" t="s">
        <v>398</v>
      </c>
      <c r="C135" s="27" t="s">
        <v>399</v>
      </c>
      <c r="D135" s="8" t="s">
        <v>400</v>
      </c>
      <c r="E135" s="8" t="s">
        <v>46</v>
      </c>
      <c r="F135" s="8" t="s">
        <v>59</v>
      </c>
      <c r="G135" s="16" t="s">
        <v>60</v>
      </c>
      <c r="H135" s="8" t="s">
        <v>407</v>
      </c>
      <c r="I135" s="8" t="s">
        <v>408</v>
      </c>
      <c r="J135" s="8" t="s">
        <v>402</v>
      </c>
      <c r="K135" s="8" t="s">
        <v>52</v>
      </c>
      <c r="L135" s="8"/>
      <c r="M135" s="8"/>
      <c r="N135" s="11" t="s">
        <v>53</v>
      </c>
      <c r="O135" s="12" t="s">
        <v>63</v>
      </c>
      <c r="P135" s="15" t="s">
        <v>58</v>
      </c>
      <c r="Q135" s="22" t="s">
        <v>326</v>
      </c>
    </row>
    <row r="136" spans="1:17" ht="27.75" customHeight="1">
      <c r="A136" s="8">
        <v>135</v>
      </c>
      <c r="B136" s="8" t="s">
        <v>398</v>
      </c>
      <c r="C136" s="27" t="s">
        <v>399</v>
      </c>
      <c r="D136" s="8" t="s">
        <v>400</v>
      </c>
      <c r="E136" s="8" t="s">
        <v>46</v>
      </c>
      <c r="F136" s="8" t="s">
        <v>59</v>
      </c>
      <c r="G136" s="16" t="s">
        <v>60</v>
      </c>
      <c r="H136" s="8" t="s">
        <v>407</v>
      </c>
      <c r="I136" s="8" t="s">
        <v>409</v>
      </c>
      <c r="J136" s="8" t="s">
        <v>402</v>
      </c>
      <c r="K136" s="8" t="s">
        <v>52</v>
      </c>
      <c r="L136" s="8"/>
      <c r="M136" s="8"/>
      <c r="N136" s="11" t="s">
        <v>53</v>
      </c>
      <c r="O136" s="12" t="s">
        <v>63</v>
      </c>
      <c r="P136" s="15" t="s">
        <v>58</v>
      </c>
      <c r="Q136" s="22" t="s">
        <v>326</v>
      </c>
    </row>
    <row r="137" spans="1:17" ht="27.75" customHeight="1">
      <c r="A137" s="8">
        <v>136</v>
      </c>
      <c r="B137" s="8" t="s">
        <v>398</v>
      </c>
      <c r="C137" s="27" t="s">
        <v>399</v>
      </c>
      <c r="D137" s="8" t="s">
        <v>400</v>
      </c>
      <c r="E137" s="8" t="s">
        <v>46</v>
      </c>
      <c r="F137" s="8" t="s">
        <v>65</v>
      </c>
      <c r="G137" s="17" t="s">
        <v>66</v>
      </c>
      <c r="H137" s="8" t="s">
        <v>410</v>
      </c>
      <c r="I137" s="8" t="s">
        <v>411</v>
      </c>
      <c r="J137" s="8" t="s">
        <v>402</v>
      </c>
      <c r="K137" s="8" t="s">
        <v>52</v>
      </c>
      <c r="L137" s="8"/>
      <c r="M137" s="8"/>
      <c r="N137" s="11" t="s">
        <v>53</v>
      </c>
      <c r="O137" s="12" t="s">
        <v>69</v>
      </c>
      <c r="P137" s="15" t="s">
        <v>58</v>
      </c>
      <c r="Q137" s="22" t="s">
        <v>326</v>
      </c>
    </row>
    <row r="138" spans="1:17" ht="27.75" customHeight="1">
      <c r="A138" s="8">
        <v>137</v>
      </c>
      <c r="B138" s="8" t="s">
        <v>412</v>
      </c>
      <c r="C138" s="27" t="s">
        <v>399</v>
      </c>
      <c r="D138" s="8" t="s">
        <v>413</v>
      </c>
      <c r="E138" s="8" t="s">
        <v>46</v>
      </c>
      <c r="F138" s="8" t="s">
        <v>47</v>
      </c>
      <c r="G138" s="10" t="s">
        <v>48</v>
      </c>
      <c r="H138" s="8" t="s">
        <v>414</v>
      </c>
      <c r="I138" s="8" t="s">
        <v>415</v>
      </c>
      <c r="J138" s="8" t="s">
        <v>416</v>
      </c>
      <c r="K138" s="8" t="s">
        <v>52</v>
      </c>
      <c r="L138" s="8"/>
      <c r="M138" s="8"/>
      <c r="N138" s="11" t="s">
        <v>135</v>
      </c>
      <c r="O138" s="12" t="s">
        <v>417</v>
      </c>
      <c r="P138" s="15" t="s">
        <v>58</v>
      </c>
      <c r="Q138" s="20" t="s">
        <v>299</v>
      </c>
    </row>
    <row r="139" spans="1:17" ht="27.75" customHeight="1">
      <c r="A139" s="8">
        <v>138</v>
      </c>
      <c r="B139" s="8" t="s">
        <v>412</v>
      </c>
      <c r="C139" s="27" t="s">
        <v>399</v>
      </c>
      <c r="D139" s="8" t="s">
        <v>413</v>
      </c>
      <c r="E139" s="8" t="s">
        <v>46</v>
      </c>
      <c r="F139" s="8" t="s">
        <v>47</v>
      </c>
      <c r="G139" s="10" t="s">
        <v>48</v>
      </c>
      <c r="H139" s="8" t="s">
        <v>414</v>
      </c>
      <c r="I139" s="8" t="s">
        <v>418</v>
      </c>
      <c r="J139" s="8" t="s">
        <v>416</v>
      </c>
      <c r="K139" s="8" t="s">
        <v>52</v>
      </c>
      <c r="L139" s="8"/>
      <c r="M139" s="8"/>
      <c r="N139" s="11" t="s">
        <v>53</v>
      </c>
      <c r="O139" s="12" t="s">
        <v>54</v>
      </c>
      <c r="P139" s="15" t="s">
        <v>58</v>
      </c>
      <c r="Q139" s="20" t="s">
        <v>299</v>
      </c>
    </row>
    <row r="140" spans="1:17" ht="27.75" customHeight="1">
      <c r="A140" s="8">
        <v>139</v>
      </c>
      <c r="B140" s="8" t="s">
        <v>412</v>
      </c>
      <c r="C140" s="27" t="s">
        <v>399</v>
      </c>
      <c r="D140" s="8" t="s">
        <v>413</v>
      </c>
      <c r="E140" s="8" t="s">
        <v>46</v>
      </c>
      <c r="F140" s="8" t="s">
        <v>59</v>
      </c>
      <c r="G140" s="16" t="s">
        <v>60</v>
      </c>
      <c r="H140" s="8" t="s">
        <v>419</v>
      </c>
      <c r="I140" s="8" t="s">
        <v>420</v>
      </c>
      <c r="J140" s="8" t="s">
        <v>416</v>
      </c>
      <c r="K140" s="8" t="s">
        <v>52</v>
      </c>
      <c r="L140" s="8"/>
      <c r="M140" s="8"/>
      <c r="N140" s="11" t="s">
        <v>53</v>
      </c>
      <c r="O140" s="12" t="s">
        <v>63</v>
      </c>
      <c r="P140" s="15" t="s">
        <v>58</v>
      </c>
      <c r="Q140" s="20" t="s">
        <v>299</v>
      </c>
    </row>
    <row r="141" spans="1:17" ht="27.75" customHeight="1">
      <c r="A141" s="8">
        <v>140</v>
      </c>
      <c r="B141" s="8" t="s">
        <v>412</v>
      </c>
      <c r="C141" s="27" t="s">
        <v>399</v>
      </c>
      <c r="D141" s="8" t="s">
        <v>413</v>
      </c>
      <c r="E141" s="8" t="s">
        <v>46</v>
      </c>
      <c r="F141" s="8" t="s">
        <v>59</v>
      </c>
      <c r="G141" s="16" t="s">
        <v>60</v>
      </c>
      <c r="H141" s="8" t="s">
        <v>419</v>
      </c>
      <c r="I141" s="8" t="s">
        <v>421</v>
      </c>
      <c r="J141" s="8" t="s">
        <v>416</v>
      </c>
      <c r="K141" s="8" t="s">
        <v>52</v>
      </c>
      <c r="L141" s="8"/>
      <c r="M141" s="8"/>
      <c r="N141" s="11" t="s">
        <v>53</v>
      </c>
      <c r="O141" s="12" t="s">
        <v>63</v>
      </c>
      <c r="P141" s="15" t="s">
        <v>58</v>
      </c>
      <c r="Q141" s="20" t="s">
        <v>299</v>
      </c>
    </row>
    <row r="142" spans="1:17" ht="27.75" customHeight="1">
      <c r="A142" s="8">
        <v>141</v>
      </c>
      <c r="B142" s="8" t="s">
        <v>412</v>
      </c>
      <c r="C142" s="27" t="s">
        <v>399</v>
      </c>
      <c r="D142" s="8" t="s">
        <v>413</v>
      </c>
      <c r="E142" s="8" t="s">
        <v>46</v>
      </c>
      <c r="F142" s="8" t="s">
        <v>65</v>
      </c>
      <c r="G142" s="17" t="s">
        <v>66</v>
      </c>
      <c r="H142" s="8" t="s">
        <v>422</v>
      </c>
      <c r="I142" s="8" t="s">
        <v>423</v>
      </c>
      <c r="J142" s="8" t="s">
        <v>416</v>
      </c>
      <c r="K142" s="8" t="s">
        <v>52</v>
      </c>
      <c r="L142" s="8"/>
      <c r="M142" s="8"/>
      <c r="N142" s="11" t="s">
        <v>53</v>
      </c>
      <c r="O142" s="12" t="s">
        <v>69</v>
      </c>
      <c r="P142" s="15" t="s">
        <v>58</v>
      </c>
      <c r="Q142" s="20" t="s">
        <v>299</v>
      </c>
    </row>
    <row r="143" spans="1:17" ht="27.75" customHeight="1">
      <c r="A143" s="8">
        <v>142</v>
      </c>
      <c r="B143" s="8" t="s">
        <v>424</v>
      </c>
      <c r="C143" s="27" t="s">
        <v>399</v>
      </c>
      <c r="D143" s="8" t="s">
        <v>425</v>
      </c>
      <c r="E143" s="8" t="s">
        <v>46</v>
      </c>
      <c r="F143" s="8" t="s">
        <v>47</v>
      </c>
      <c r="G143" s="10" t="s">
        <v>48</v>
      </c>
      <c r="H143" s="8" t="s">
        <v>426</v>
      </c>
      <c r="I143" s="8" t="s">
        <v>427</v>
      </c>
      <c r="J143" s="8" t="s">
        <v>428</v>
      </c>
      <c r="K143" s="8" t="s">
        <v>52</v>
      </c>
      <c r="L143" s="8"/>
      <c r="M143" s="8"/>
      <c r="N143" s="11" t="s">
        <v>53</v>
      </c>
      <c r="O143" s="12" t="s">
        <v>54</v>
      </c>
      <c r="P143" s="15" t="s">
        <v>58</v>
      </c>
      <c r="Q143" s="14" t="s">
        <v>429</v>
      </c>
    </row>
    <row r="144" spans="1:17" ht="27.75" customHeight="1">
      <c r="A144" s="8">
        <v>143</v>
      </c>
      <c r="B144" s="8" t="s">
        <v>424</v>
      </c>
      <c r="C144" s="27" t="s">
        <v>399</v>
      </c>
      <c r="D144" s="8" t="s">
        <v>425</v>
      </c>
      <c r="E144" s="8" t="s">
        <v>46</v>
      </c>
      <c r="F144" s="8" t="s">
        <v>47</v>
      </c>
      <c r="G144" s="10" t="s">
        <v>48</v>
      </c>
      <c r="H144" s="8" t="s">
        <v>426</v>
      </c>
      <c r="I144" s="8" t="s">
        <v>430</v>
      </c>
      <c r="J144" s="8" t="s">
        <v>428</v>
      </c>
      <c r="K144" s="8" t="s">
        <v>52</v>
      </c>
      <c r="L144" s="8"/>
      <c r="M144" s="8"/>
      <c r="N144" s="11" t="s">
        <v>53</v>
      </c>
      <c r="O144" s="12" t="s">
        <v>54</v>
      </c>
      <c r="P144" s="15" t="s">
        <v>58</v>
      </c>
      <c r="Q144" s="14" t="s">
        <v>429</v>
      </c>
    </row>
    <row r="145" spans="1:17" ht="27.75" customHeight="1">
      <c r="A145" s="8">
        <v>144</v>
      </c>
      <c r="B145" s="8" t="s">
        <v>424</v>
      </c>
      <c r="C145" s="27" t="s">
        <v>399</v>
      </c>
      <c r="D145" s="8" t="s">
        <v>425</v>
      </c>
      <c r="E145" s="8" t="s">
        <v>46</v>
      </c>
      <c r="F145" s="8" t="s">
        <v>59</v>
      </c>
      <c r="G145" s="16" t="s">
        <v>60</v>
      </c>
      <c r="H145" s="8" t="s">
        <v>431</v>
      </c>
      <c r="I145" s="8" t="s">
        <v>432</v>
      </c>
      <c r="J145" s="8" t="s">
        <v>428</v>
      </c>
      <c r="K145" s="8" t="s">
        <v>52</v>
      </c>
      <c r="L145" s="8"/>
      <c r="M145" s="8"/>
      <c r="N145" s="11" t="s">
        <v>53</v>
      </c>
      <c r="O145" s="12" t="s">
        <v>63</v>
      </c>
      <c r="P145" s="15" t="s">
        <v>58</v>
      </c>
      <c r="Q145" s="14" t="s">
        <v>429</v>
      </c>
    </row>
    <row r="146" spans="1:17" ht="27.75" customHeight="1">
      <c r="A146" s="8">
        <v>145</v>
      </c>
      <c r="B146" s="8" t="s">
        <v>424</v>
      </c>
      <c r="C146" s="27" t="s">
        <v>399</v>
      </c>
      <c r="D146" s="8" t="s">
        <v>425</v>
      </c>
      <c r="E146" s="8" t="s">
        <v>46</v>
      </c>
      <c r="F146" s="8" t="s">
        <v>59</v>
      </c>
      <c r="G146" s="16" t="s">
        <v>60</v>
      </c>
      <c r="H146" s="8" t="s">
        <v>431</v>
      </c>
      <c r="I146" s="8" t="s">
        <v>433</v>
      </c>
      <c r="J146" s="8" t="s">
        <v>428</v>
      </c>
      <c r="K146" s="8" t="s">
        <v>52</v>
      </c>
      <c r="L146" s="8"/>
      <c r="M146" s="8"/>
      <c r="N146" s="11" t="s">
        <v>53</v>
      </c>
      <c r="O146" s="12" t="s">
        <v>63</v>
      </c>
      <c r="P146" s="15" t="s">
        <v>58</v>
      </c>
      <c r="Q146" s="14" t="s">
        <v>429</v>
      </c>
    </row>
    <row r="147" spans="1:17" ht="27.75" customHeight="1">
      <c r="A147" s="8">
        <v>146</v>
      </c>
      <c r="B147" s="8" t="s">
        <v>424</v>
      </c>
      <c r="C147" s="27" t="s">
        <v>399</v>
      </c>
      <c r="D147" s="8" t="s">
        <v>425</v>
      </c>
      <c r="E147" s="8" t="s">
        <v>46</v>
      </c>
      <c r="F147" s="8" t="s">
        <v>65</v>
      </c>
      <c r="G147" s="17" t="s">
        <v>66</v>
      </c>
      <c r="H147" s="8" t="s">
        <v>434</v>
      </c>
      <c r="I147" s="8" t="s">
        <v>435</v>
      </c>
      <c r="J147" s="8" t="s">
        <v>428</v>
      </c>
      <c r="K147" s="8" t="s">
        <v>52</v>
      </c>
      <c r="L147" s="8"/>
      <c r="M147" s="8"/>
      <c r="N147" s="11" t="s">
        <v>53</v>
      </c>
      <c r="O147" s="12" t="s">
        <v>69</v>
      </c>
      <c r="P147" s="13" t="s">
        <v>436</v>
      </c>
      <c r="Q147" s="14" t="s">
        <v>429</v>
      </c>
    </row>
    <row r="148" spans="1:17" ht="27.75" customHeight="1">
      <c r="A148" s="8">
        <v>147</v>
      </c>
      <c r="B148" s="8" t="s">
        <v>424</v>
      </c>
      <c r="C148" s="27" t="s">
        <v>399</v>
      </c>
      <c r="D148" s="8" t="s">
        <v>425</v>
      </c>
      <c r="E148" s="8" t="s">
        <v>46</v>
      </c>
      <c r="F148" s="8" t="s">
        <v>65</v>
      </c>
      <c r="G148" s="17" t="s">
        <v>66</v>
      </c>
      <c r="H148" s="8" t="s">
        <v>434</v>
      </c>
      <c r="I148" s="8" t="s">
        <v>437</v>
      </c>
      <c r="J148" s="8" t="s">
        <v>428</v>
      </c>
      <c r="K148" s="8" t="s">
        <v>52</v>
      </c>
      <c r="L148" s="8"/>
      <c r="M148" s="8"/>
      <c r="N148" s="11" t="s">
        <v>53</v>
      </c>
      <c r="O148" s="12" t="s">
        <v>69</v>
      </c>
      <c r="P148" s="15" t="s">
        <v>58</v>
      </c>
      <c r="Q148" s="14" t="s">
        <v>429</v>
      </c>
    </row>
    <row r="149" spans="1:17" ht="27.75" customHeight="1">
      <c r="A149" s="8">
        <v>148</v>
      </c>
      <c r="B149" s="8" t="s">
        <v>438</v>
      </c>
      <c r="C149" s="27" t="s">
        <v>399</v>
      </c>
      <c r="D149" s="8" t="s">
        <v>439</v>
      </c>
      <c r="E149" s="8" t="s">
        <v>46</v>
      </c>
      <c r="F149" s="8" t="s">
        <v>47</v>
      </c>
      <c r="G149" s="10" t="s">
        <v>48</v>
      </c>
      <c r="H149" s="8" t="s">
        <v>440</v>
      </c>
      <c r="I149" s="8" t="s">
        <v>441</v>
      </c>
      <c r="J149" s="8" t="s">
        <v>442</v>
      </c>
      <c r="K149" s="8" t="s">
        <v>52</v>
      </c>
      <c r="L149" s="8"/>
      <c r="M149" s="8"/>
      <c r="N149" s="11" t="s">
        <v>53</v>
      </c>
      <c r="O149" s="12" t="s">
        <v>54</v>
      </c>
      <c r="P149" s="15" t="s">
        <v>58</v>
      </c>
      <c r="Q149" s="21" t="s">
        <v>200</v>
      </c>
    </row>
    <row r="150" spans="1:17" ht="27.75" customHeight="1">
      <c r="A150" s="8">
        <v>149</v>
      </c>
      <c r="B150" s="8" t="s">
        <v>438</v>
      </c>
      <c r="C150" s="27" t="s">
        <v>399</v>
      </c>
      <c r="D150" s="8" t="s">
        <v>439</v>
      </c>
      <c r="E150" s="8" t="s">
        <v>46</v>
      </c>
      <c r="F150" s="8" t="s">
        <v>47</v>
      </c>
      <c r="G150" s="10" t="s">
        <v>48</v>
      </c>
      <c r="H150" s="8" t="s">
        <v>440</v>
      </c>
      <c r="I150" s="8" t="s">
        <v>443</v>
      </c>
      <c r="J150" s="8" t="s">
        <v>442</v>
      </c>
      <c r="K150" s="8" t="s">
        <v>52</v>
      </c>
      <c r="L150" s="8"/>
      <c r="M150" s="8"/>
      <c r="N150" s="18" t="s">
        <v>194</v>
      </c>
      <c r="O150" s="12" t="s">
        <v>444</v>
      </c>
      <c r="P150" s="15" t="s">
        <v>58</v>
      </c>
      <c r="Q150" s="21" t="s">
        <v>200</v>
      </c>
    </row>
    <row r="151" spans="1:17" ht="27.75" customHeight="1">
      <c r="A151" s="8">
        <v>150</v>
      </c>
      <c r="B151" s="8" t="s">
        <v>438</v>
      </c>
      <c r="C151" s="27" t="s">
        <v>399</v>
      </c>
      <c r="D151" s="8" t="s">
        <v>439</v>
      </c>
      <c r="E151" s="8" t="s">
        <v>46</v>
      </c>
      <c r="F151" s="8" t="s">
        <v>59</v>
      </c>
      <c r="G151" s="16" t="s">
        <v>60</v>
      </c>
      <c r="H151" s="8" t="s">
        <v>445</v>
      </c>
      <c r="I151" s="8" t="s">
        <v>446</v>
      </c>
      <c r="J151" s="8" t="s">
        <v>442</v>
      </c>
      <c r="K151" s="8" t="s">
        <v>52</v>
      </c>
      <c r="L151" s="8"/>
      <c r="M151" s="8"/>
      <c r="N151" s="11" t="s">
        <v>53</v>
      </c>
      <c r="O151" s="12" t="s">
        <v>447</v>
      </c>
      <c r="P151" s="15" t="s">
        <v>58</v>
      </c>
      <c r="Q151" s="21" t="s">
        <v>200</v>
      </c>
    </row>
    <row r="152" spans="1:17" ht="27.75" customHeight="1">
      <c r="A152" s="8">
        <v>151</v>
      </c>
      <c r="B152" s="8" t="s">
        <v>438</v>
      </c>
      <c r="C152" s="27" t="s">
        <v>399</v>
      </c>
      <c r="D152" s="8" t="s">
        <v>439</v>
      </c>
      <c r="E152" s="8" t="s">
        <v>46</v>
      </c>
      <c r="F152" s="8" t="s">
        <v>59</v>
      </c>
      <c r="G152" s="16" t="s">
        <v>60</v>
      </c>
      <c r="H152" s="8" t="s">
        <v>445</v>
      </c>
      <c r="I152" s="8" t="s">
        <v>448</v>
      </c>
      <c r="J152" s="8" t="s">
        <v>442</v>
      </c>
      <c r="K152" s="8" t="s">
        <v>52</v>
      </c>
      <c r="L152" s="8"/>
      <c r="M152" s="8"/>
      <c r="N152" s="11" t="s">
        <v>53</v>
      </c>
      <c r="O152" s="12" t="s">
        <v>63</v>
      </c>
      <c r="P152" s="13" t="s">
        <v>449</v>
      </c>
      <c r="Q152" s="21" t="s">
        <v>200</v>
      </c>
    </row>
    <row r="153" spans="1:17" ht="27.75" customHeight="1">
      <c r="A153" s="8">
        <v>152</v>
      </c>
      <c r="B153" s="8" t="s">
        <v>438</v>
      </c>
      <c r="C153" s="27" t="s">
        <v>399</v>
      </c>
      <c r="D153" s="8" t="s">
        <v>439</v>
      </c>
      <c r="E153" s="8" t="s">
        <v>46</v>
      </c>
      <c r="F153" s="8" t="s">
        <v>65</v>
      </c>
      <c r="G153" s="17" t="s">
        <v>66</v>
      </c>
      <c r="H153" s="8" t="s">
        <v>450</v>
      </c>
      <c r="I153" s="8" t="s">
        <v>451</v>
      </c>
      <c r="J153" s="8" t="s">
        <v>442</v>
      </c>
      <c r="K153" s="8" t="s">
        <v>52</v>
      </c>
      <c r="L153" s="8"/>
      <c r="M153" s="8"/>
      <c r="N153" s="11" t="s">
        <v>53</v>
      </c>
      <c r="O153" s="12" t="s">
        <v>69</v>
      </c>
      <c r="P153" s="15" t="s">
        <v>58</v>
      </c>
      <c r="Q153" s="21" t="s">
        <v>200</v>
      </c>
    </row>
    <row r="154" spans="1:17" ht="27.75" customHeight="1">
      <c r="A154" s="8">
        <v>153</v>
      </c>
      <c r="B154" s="8" t="s">
        <v>452</v>
      </c>
      <c r="C154" s="27" t="s">
        <v>399</v>
      </c>
      <c r="D154" s="8" t="s">
        <v>453</v>
      </c>
      <c r="E154" s="8" t="s">
        <v>46</v>
      </c>
      <c r="F154" s="8" t="s">
        <v>47</v>
      </c>
      <c r="G154" s="10" t="s">
        <v>48</v>
      </c>
      <c r="H154" s="8" t="s">
        <v>454</v>
      </c>
      <c r="I154" s="8" t="s">
        <v>455</v>
      </c>
      <c r="J154" s="8" t="s">
        <v>456</v>
      </c>
      <c r="K154" s="8" t="s">
        <v>52</v>
      </c>
      <c r="L154" s="8"/>
      <c r="M154" s="8"/>
      <c r="N154" s="25" t="s">
        <v>271</v>
      </c>
      <c r="O154" s="12" t="s">
        <v>457</v>
      </c>
      <c r="P154" s="15" t="s">
        <v>58</v>
      </c>
      <c r="Q154" s="20" t="s">
        <v>299</v>
      </c>
    </row>
    <row r="155" spans="1:17" ht="27.75" customHeight="1">
      <c r="A155" s="8">
        <v>154</v>
      </c>
      <c r="B155" s="8" t="s">
        <v>452</v>
      </c>
      <c r="C155" s="27" t="s">
        <v>399</v>
      </c>
      <c r="D155" s="8" t="s">
        <v>453</v>
      </c>
      <c r="E155" s="8" t="s">
        <v>46</v>
      </c>
      <c r="F155" s="8" t="s">
        <v>47</v>
      </c>
      <c r="G155" s="10" t="s">
        <v>48</v>
      </c>
      <c r="H155" s="8" t="s">
        <v>454</v>
      </c>
      <c r="I155" s="8" t="s">
        <v>458</v>
      </c>
      <c r="J155" s="8" t="s">
        <v>456</v>
      </c>
      <c r="K155" s="8" t="s">
        <v>52</v>
      </c>
      <c r="L155" s="8"/>
      <c r="M155" s="8"/>
      <c r="N155" s="11" t="s">
        <v>53</v>
      </c>
      <c r="O155" s="12" t="s">
        <v>54</v>
      </c>
      <c r="P155" s="15" t="s">
        <v>58</v>
      </c>
      <c r="Q155" s="20" t="s">
        <v>299</v>
      </c>
    </row>
    <row r="156" spans="1:17" ht="27.75" customHeight="1">
      <c r="A156" s="8">
        <v>155</v>
      </c>
      <c r="B156" s="8" t="s">
        <v>452</v>
      </c>
      <c r="C156" s="27" t="s">
        <v>399</v>
      </c>
      <c r="D156" s="8" t="s">
        <v>453</v>
      </c>
      <c r="E156" s="8" t="s">
        <v>46</v>
      </c>
      <c r="F156" s="8" t="s">
        <v>59</v>
      </c>
      <c r="G156" s="16" t="s">
        <v>60</v>
      </c>
      <c r="H156" s="8" t="s">
        <v>459</v>
      </c>
      <c r="I156" s="8" t="s">
        <v>460</v>
      </c>
      <c r="J156" s="8" t="s">
        <v>456</v>
      </c>
      <c r="K156" s="8" t="s">
        <v>52</v>
      </c>
      <c r="L156" s="8"/>
      <c r="M156" s="8"/>
      <c r="N156" s="23" t="s">
        <v>243</v>
      </c>
      <c r="O156" s="12" t="s">
        <v>461</v>
      </c>
      <c r="P156" s="15" t="s">
        <v>58</v>
      </c>
      <c r="Q156" s="20" t="s">
        <v>299</v>
      </c>
    </row>
    <row r="157" spans="1:17" ht="15" customHeight="1">
      <c r="A157" s="8">
        <v>156</v>
      </c>
      <c r="B157" s="8" t="s">
        <v>452</v>
      </c>
      <c r="C157" s="27" t="s">
        <v>399</v>
      </c>
      <c r="D157" s="8" t="s">
        <v>453</v>
      </c>
      <c r="E157" s="8" t="s">
        <v>46</v>
      </c>
      <c r="F157" s="8" t="s">
        <v>59</v>
      </c>
      <c r="G157" s="16" t="s">
        <v>60</v>
      </c>
      <c r="H157" s="8" t="s">
        <v>459</v>
      </c>
      <c r="I157" s="8" t="s">
        <v>462</v>
      </c>
      <c r="J157" s="8" t="s">
        <v>456</v>
      </c>
      <c r="K157" s="8" t="s">
        <v>52</v>
      </c>
      <c r="L157" s="8"/>
      <c r="M157" s="8"/>
      <c r="N157" s="11" t="s">
        <v>53</v>
      </c>
      <c r="O157" s="12" t="s">
        <v>63</v>
      </c>
      <c r="P157" s="15" t="s">
        <v>58</v>
      </c>
      <c r="Q157" s="20" t="s">
        <v>299</v>
      </c>
    </row>
    <row r="158" spans="1:17" ht="27.75" customHeight="1">
      <c r="A158" s="8">
        <v>157</v>
      </c>
      <c r="B158" s="8" t="s">
        <v>452</v>
      </c>
      <c r="C158" s="27" t="s">
        <v>399</v>
      </c>
      <c r="D158" s="8" t="s">
        <v>453</v>
      </c>
      <c r="E158" s="8" t="s">
        <v>46</v>
      </c>
      <c r="F158" s="8" t="s">
        <v>65</v>
      </c>
      <c r="G158" s="17" t="s">
        <v>66</v>
      </c>
      <c r="H158" s="8" t="s">
        <v>463</v>
      </c>
      <c r="I158" s="8" t="s">
        <v>464</v>
      </c>
      <c r="J158" s="8" t="s">
        <v>456</v>
      </c>
      <c r="K158" s="8" t="s">
        <v>52</v>
      </c>
      <c r="L158" s="8"/>
      <c r="M158" s="8"/>
      <c r="N158" s="18" t="s">
        <v>194</v>
      </c>
      <c r="O158" s="12" t="s">
        <v>465</v>
      </c>
      <c r="P158" s="15" t="s">
        <v>58</v>
      </c>
      <c r="Q158" s="20" t="s">
        <v>299</v>
      </c>
    </row>
    <row r="159" spans="1:17" ht="27.75" customHeight="1">
      <c r="A159" s="8">
        <v>158</v>
      </c>
      <c r="B159" s="8" t="s">
        <v>466</v>
      </c>
      <c r="C159" s="10" t="s">
        <v>467</v>
      </c>
      <c r="D159" s="8" t="s">
        <v>468</v>
      </c>
      <c r="E159" s="8" t="s">
        <v>262</v>
      </c>
      <c r="F159" s="8" t="s">
        <v>51</v>
      </c>
      <c r="G159" s="24" t="s">
        <v>263</v>
      </c>
      <c r="H159" s="8" t="s">
        <v>51</v>
      </c>
      <c r="I159" s="8" t="s">
        <v>469</v>
      </c>
      <c r="J159" s="8" t="s">
        <v>470</v>
      </c>
      <c r="K159" s="8" t="s">
        <v>52</v>
      </c>
      <c r="L159" s="8"/>
      <c r="M159" s="8"/>
      <c r="N159" s="11" t="s">
        <v>266</v>
      </c>
      <c r="O159" s="12" t="s">
        <v>267</v>
      </c>
      <c r="P159" s="15" t="s">
        <v>58</v>
      </c>
      <c r="Q159" s="21" t="s">
        <v>268</v>
      </c>
    </row>
    <row r="160" spans="1:17" ht="27.75" customHeight="1">
      <c r="A160" s="8">
        <v>159</v>
      </c>
      <c r="B160" s="8" t="s">
        <v>466</v>
      </c>
      <c r="C160" s="10" t="s">
        <v>467</v>
      </c>
      <c r="D160" s="8" t="s">
        <v>468</v>
      </c>
      <c r="E160" s="8" t="s">
        <v>46</v>
      </c>
      <c r="F160" s="8" t="s">
        <v>47</v>
      </c>
      <c r="G160" s="10" t="s">
        <v>48</v>
      </c>
      <c r="H160" s="8" t="s">
        <v>471</v>
      </c>
      <c r="I160" s="8" t="s">
        <v>472</v>
      </c>
      <c r="J160" s="8" t="s">
        <v>470</v>
      </c>
      <c r="K160" s="8" t="s">
        <v>52</v>
      </c>
      <c r="L160" s="8"/>
      <c r="M160" s="8"/>
      <c r="N160" s="11" t="s">
        <v>53</v>
      </c>
      <c r="O160" s="12" t="s">
        <v>54</v>
      </c>
      <c r="P160" s="15" t="s">
        <v>473</v>
      </c>
      <c r="Q160" s="19" t="s">
        <v>474</v>
      </c>
    </row>
    <row r="161" spans="1:17" ht="27.75" customHeight="1">
      <c r="A161" s="8">
        <v>160</v>
      </c>
      <c r="B161" s="8" t="s">
        <v>466</v>
      </c>
      <c r="C161" s="10" t="s">
        <v>467</v>
      </c>
      <c r="D161" s="8" t="s">
        <v>468</v>
      </c>
      <c r="E161" s="8" t="s">
        <v>46</v>
      </c>
      <c r="F161" s="8" t="s">
        <v>47</v>
      </c>
      <c r="G161" s="10" t="s">
        <v>48</v>
      </c>
      <c r="H161" s="8" t="s">
        <v>471</v>
      </c>
      <c r="I161" s="8" t="s">
        <v>475</v>
      </c>
      <c r="J161" s="8" t="s">
        <v>470</v>
      </c>
      <c r="K161" s="8" t="s">
        <v>52</v>
      </c>
      <c r="L161" s="8"/>
      <c r="M161" s="8"/>
      <c r="N161" s="11" t="s">
        <v>53</v>
      </c>
      <c r="O161" s="12" t="s">
        <v>54</v>
      </c>
      <c r="P161" s="15" t="s">
        <v>58</v>
      </c>
      <c r="Q161" s="19" t="s">
        <v>474</v>
      </c>
    </row>
    <row r="162" spans="1:17" ht="27.75" customHeight="1">
      <c r="A162" s="8">
        <v>161</v>
      </c>
      <c r="B162" s="8" t="s">
        <v>466</v>
      </c>
      <c r="C162" s="10" t="s">
        <v>467</v>
      </c>
      <c r="D162" s="8" t="s">
        <v>468</v>
      </c>
      <c r="E162" s="8" t="s">
        <v>46</v>
      </c>
      <c r="F162" s="8" t="s">
        <v>59</v>
      </c>
      <c r="G162" s="16" t="s">
        <v>60</v>
      </c>
      <c r="H162" s="8" t="s">
        <v>476</v>
      </c>
      <c r="I162" s="8" t="s">
        <v>477</v>
      </c>
      <c r="J162" s="8" t="s">
        <v>470</v>
      </c>
      <c r="K162" s="8" t="s">
        <v>52</v>
      </c>
      <c r="L162" s="8"/>
      <c r="M162" s="8"/>
      <c r="N162" s="11" t="s">
        <v>53</v>
      </c>
      <c r="O162" s="12" t="s">
        <v>63</v>
      </c>
      <c r="P162" s="15" t="s">
        <v>58</v>
      </c>
      <c r="Q162" s="19" t="s">
        <v>474</v>
      </c>
    </row>
    <row r="163" spans="1:17" ht="27.75" customHeight="1">
      <c r="A163" s="8">
        <v>162</v>
      </c>
      <c r="B163" s="8" t="s">
        <v>466</v>
      </c>
      <c r="C163" s="10" t="s">
        <v>467</v>
      </c>
      <c r="D163" s="8" t="s">
        <v>468</v>
      </c>
      <c r="E163" s="8" t="s">
        <v>46</v>
      </c>
      <c r="F163" s="8" t="s">
        <v>59</v>
      </c>
      <c r="G163" s="16" t="s">
        <v>60</v>
      </c>
      <c r="H163" s="8" t="s">
        <v>476</v>
      </c>
      <c r="I163" s="8" t="s">
        <v>478</v>
      </c>
      <c r="J163" s="8" t="s">
        <v>470</v>
      </c>
      <c r="K163" s="8" t="s">
        <v>52</v>
      </c>
      <c r="L163" s="8"/>
      <c r="M163" s="8"/>
      <c r="N163" s="11" t="s">
        <v>53</v>
      </c>
      <c r="O163" s="12" t="s">
        <v>63</v>
      </c>
      <c r="P163" s="15" t="s">
        <v>58</v>
      </c>
      <c r="Q163" s="19" t="s">
        <v>474</v>
      </c>
    </row>
    <row r="164" spans="1:17" ht="27.75" customHeight="1">
      <c r="A164" s="8">
        <v>163</v>
      </c>
      <c r="B164" s="8" t="s">
        <v>466</v>
      </c>
      <c r="C164" s="10" t="s">
        <v>467</v>
      </c>
      <c r="D164" s="8" t="s">
        <v>468</v>
      </c>
      <c r="E164" s="8" t="s">
        <v>46</v>
      </c>
      <c r="F164" s="8" t="s">
        <v>65</v>
      </c>
      <c r="G164" s="17" t="s">
        <v>66</v>
      </c>
      <c r="H164" s="8" t="s">
        <v>479</v>
      </c>
      <c r="I164" s="8" t="s">
        <v>480</v>
      </c>
      <c r="J164" s="8" t="s">
        <v>470</v>
      </c>
      <c r="K164" s="8" t="s">
        <v>52</v>
      </c>
      <c r="L164" s="8"/>
      <c r="M164" s="8"/>
      <c r="N164" s="11" t="s">
        <v>53</v>
      </c>
      <c r="O164" s="12" t="s">
        <v>69</v>
      </c>
      <c r="P164" s="15" t="s">
        <v>58</v>
      </c>
      <c r="Q164" s="19" t="s">
        <v>474</v>
      </c>
    </row>
    <row r="165" spans="1:17" ht="27.75" customHeight="1">
      <c r="A165" s="8">
        <v>164</v>
      </c>
      <c r="B165" s="8" t="s">
        <v>481</v>
      </c>
      <c r="C165" s="10" t="s">
        <v>467</v>
      </c>
      <c r="D165" s="8" t="s">
        <v>482</v>
      </c>
      <c r="E165" s="8" t="s">
        <v>46</v>
      </c>
      <c r="F165" s="8" t="s">
        <v>47</v>
      </c>
      <c r="G165" s="10" t="s">
        <v>48</v>
      </c>
      <c r="H165" s="8" t="s">
        <v>483</v>
      </c>
      <c r="I165" s="8" t="s">
        <v>484</v>
      </c>
      <c r="J165" s="8" t="s">
        <v>485</v>
      </c>
      <c r="K165" s="8" t="s">
        <v>52</v>
      </c>
      <c r="L165" s="8"/>
      <c r="M165" s="8"/>
      <c r="N165" s="11" t="s">
        <v>53</v>
      </c>
      <c r="O165" s="12" t="s">
        <v>54</v>
      </c>
      <c r="P165" s="15" t="s">
        <v>58</v>
      </c>
      <c r="Q165" s="19" t="s">
        <v>486</v>
      </c>
    </row>
    <row r="166" spans="1:17" ht="27.75" customHeight="1">
      <c r="A166" s="8">
        <v>165</v>
      </c>
      <c r="B166" s="8" t="s">
        <v>481</v>
      </c>
      <c r="C166" s="10" t="s">
        <v>467</v>
      </c>
      <c r="D166" s="8" t="s">
        <v>482</v>
      </c>
      <c r="E166" s="8" t="s">
        <v>46</v>
      </c>
      <c r="F166" s="8" t="s">
        <v>47</v>
      </c>
      <c r="G166" s="10" t="s">
        <v>48</v>
      </c>
      <c r="H166" s="8" t="s">
        <v>483</v>
      </c>
      <c r="I166" s="8" t="s">
        <v>487</v>
      </c>
      <c r="J166" s="8" t="s">
        <v>485</v>
      </c>
      <c r="K166" s="8" t="s">
        <v>52</v>
      </c>
      <c r="L166" s="8"/>
      <c r="M166" s="8"/>
      <c r="N166" s="11" t="s">
        <v>53</v>
      </c>
      <c r="O166" s="12" t="s">
        <v>54</v>
      </c>
      <c r="P166" s="15" t="s">
        <v>58</v>
      </c>
      <c r="Q166" s="19" t="s">
        <v>486</v>
      </c>
    </row>
    <row r="167" spans="1:17" ht="27.75" customHeight="1">
      <c r="A167" s="8">
        <v>166</v>
      </c>
      <c r="B167" s="8" t="s">
        <v>481</v>
      </c>
      <c r="C167" s="10" t="s">
        <v>467</v>
      </c>
      <c r="D167" s="8" t="s">
        <v>482</v>
      </c>
      <c r="E167" s="8" t="s">
        <v>46</v>
      </c>
      <c r="F167" s="8" t="s">
        <v>59</v>
      </c>
      <c r="G167" s="16" t="s">
        <v>60</v>
      </c>
      <c r="H167" s="8" t="s">
        <v>488</v>
      </c>
      <c r="I167" s="8" t="s">
        <v>489</v>
      </c>
      <c r="J167" s="8" t="s">
        <v>485</v>
      </c>
      <c r="K167" s="8" t="s">
        <v>52</v>
      </c>
      <c r="L167" s="8"/>
      <c r="M167" s="8"/>
      <c r="N167" s="11" t="s">
        <v>53</v>
      </c>
      <c r="O167" s="12" t="s">
        <v>63</v>
      </c>
      <c r="P167" s="15" t="s">
        <v>58</v>
      </c>
      <c r="Q167" s="19" t="s">
        <v>486</v>
      </c>
    </row>
    <row r="168" spans="1:17" ht="27.75" customHeight="1">
      <c r="A168" s="8">
        <v>167</v>
      </c>
      <c r="B168" s="8" t="s">
        <v>481</v>
      </c>
      <c r="C168" s="10" t="s">
        <v>467</v>
      </c>
      <c r="D168" s="8" t="s">
        <v>482</v>
      </c>
      <c r="E168" s="8" t="s">
        <v>46</v>
      </c>
      <c r="F168" s="8" t="s">
        <v>59</v>
      </c>
      <c r="G168" s="16" t="s">
        <v>60</v>
      </c>
      <c r="H168" s="8" t="s">
        <v>488</v>
      </c>
      <c r="I168" s="8" t="s">
        <v>490</v>
      </c>
      <c r="J168" s="8" t="s">
        <v>485</v>
      </c>
      <c r="K168" s="8" t="s">
        <v>52</v>
      </c>
      <c r="L168" s="8"/>
      <c r="M168" s="8"/>
      <c r="N168" s="11" t="s">
        <v>53</v>
      </c>
      <c r="O168" s="12" t="s">
        <v>63</v>
      </c>
      <c r="P168" s="15" t="s">
        <v>58</v>
      </c>
      <c r="Q168" s="19" t="s">
        <v>486</v>
      </c>
    </row>
    <row r="169" spans="1:17" ht="27.75" customHeight="1">
      <c r="A169" s="8">
        <v>168</v>
      </c>
      <c r="B169" s="8" t="s">
        <v>481</v>
      </c>
      <c r="C169" s="10" t="s">
        <v>467</v>
      </c>
      <c r="D169" s="8" t="s">
        <v>482</v>
      </c>
      <c r="E169" s="8" t="s">
        <v>46</v>
      </c>
      <c r="F169" s="8" t="s">
        <v>65</v>
      </c>
      <c r="G169" s="17" t="s">
        <v>66</v>
      </c>
      <c r="H169" s="8" t="s">
        <v>491</v>
      </c>
      <c r="I169" s="8" t="s">
        <v>492</v>
      </c>
      <c r="J169" s="8" t="s">
        <v>485</v>
      </c>
      <c r="K169" s="8" t="s">
        <v>52</v>
      </c>
      <c r="L169" s="8"/>
      <c r="M169" s="8"/>
      <c r="N169" s="11" t="s">
        <v>53</v>
      </c>
      <c r="O169" s="12" t="s">
        <v>69</v>
      </c>
      <c r="P169" s="13" t="s">
        <v>493</v>
      </c>
      <c r="Q169" s="19" t="s">
        <v>486</v>
      </c>
    </row>
    <row r="170" spans="1:17" ht="27.75" customHeight="1">
      <c r="A170" s="8">
        <v>169</v>
      </c>
      <c r="B170" s="8" t="s">
        <v>494</v>
      </c>
      <c r="C170" s="10" t="s">
        <v>467</v>
      </c>
      <c r="D170" s="8" t="s">
        <v>495</v>
      </c>
      <c r="E170" s="8" t="s">
        <v>46</v>
      </c>
      <c r="F170" s="8" t="s">
        <v>47</v>
      </c>
      <c r="G170" s="10" t="s">
        <v>48</v>
      </c>
      <c r="H170" s="8" t="s">
        <v>496</v>
      </c>
      <c r="I170" s="8" t="s">
        <v>497</v>
      </c>
      <c r="J170" s="8" t="s">
        <v>498</v>
      </c>
      <c r="K170" s="8" t="s">
        <v>52</v>
      </c>
      <c r="L170" s="8"/>
      <c r="M170" s="8"/>
      <c r="N170" s="11" t="s">
        <v>53</v>
      </c>
      <c r="O170" s="12" t="s">
        <v>54</v>
      </c>
      <c r="P170" s="15" t="s">
        <v>58</v>
      </c>
      <c r="Q170" s="19" t="s">
        <v>499</v>
      </c>
    </row>
    <row r="171" spans="1:17" ht="27.75" customHeight="1">
      <c r="A171" s="8">
        <v>170</v>
      </c>
      <c r="B171" s="8" t="s">
        <v>494</v>
      </c>
      <c r="C171" s="10" t="s">
        <v>467</v>
      </c>
      <c r="D171" s="8" t="s">
        <v>495</v>
      </c>
      <c r="E171" s="8" t="s">
        <v>46</v>
      </c>
      <c r="F171" s="8" t="s">
        <v>47</v>
      </c>
      <c r="G171" s="10" t="s">
        <v>48</v>
      </c>
      <c r="H171" s="8" t="s">
        <v>496</v>
      </c>
      <c r="I171" s="8" t="s">
        <v>500</v>
      </c>
      <c r="J171" s="8" t="s">
        <v>498</v>
      </c>
      <c r="K171" s="8" t="s">
        <v>52</v>
      </c>
      <c r="L171" s="8"/>
      <c r="M171" s="8"/>
      <c r="N171" s="11" t="s">
        <v>53</v>
      </c>
      <c r="O171" s="12" t="s">
        <v>54</v>
      </c>
      <c r="P171" s="15" t="s">
        <v>58</v>
      </c>
      <c r="Q171" s="19" t="s">
        <v>499</v>
      </c>
    </row>
    <row r="172" spans="1:17" ht="27.75" customHeight="1">
      <c r="A172" s="8">
        <v>171</v>
      </c>
      <c r="B172" s="8" t="s">
        <v>494</v>
      </c>
      <c r="C172" s="10" t="s">
        <v>467</v>
      </c>
      <c r="D172" s="8" t="s">
        <v>495</v>
      </c>
      <c r="E172" s="8" t="s">
        <v>46</v>
      </c>
      <c r="F172" s="8" t="s">
        <v>59</v>
      </c>
      <c r="G172" s="16" t="s">
        <v>60</v>
      </c>
      <c r="H172" s="8" t="s">
        <v>501</v>
      </c>
      <c r="I172" s="8" t="s">
        <v>502</v>
      </c>
      <c r="J172" s="8" t="s">
        <v>498</v>
      </c>
      <c r="K172" s="8" t="s">
        <v>52</v>
      </c>
      <c r="L172" s="8"/>
      <c r="M172" s="8"/>
      <c r="N172" s="11" t="s">
        <v>53</v>
      </c>
      <c r="O172" s="12" t="s">
        <v>63</v>
      </c>
      <c r="P172" s="15" t="s">
        <v>58</v>
      </c>
      <c r="Q172" s="19" t="s">
        <v>499</v>
      </c>
    </row>
    <row r="173" spans="1:17" ht="27.75" customHeight="1">
      <c r="A173" s="8">
        <v>172</v>
      </c>
      <c r="B173" s="8" t="s">
        <v>494</v>
      </c>
      <c r="C173" s="10" t="s">
        <v>467</v>
      </c>
      <c r="D173" s="8" t="s">
        <v>495</v>
      </c>
      <c r="E173" s="8" t="s">
        <v>46</v>
      </c>
      <c r="F173" s="8" t="s">
        <v>59</v>
      </c>
      <c r="G173" s="16" t="s">
        <v>60</v>
      </c>
      <c r="H173" s="8" t="s">
        <v>501</v>
      </c>
      <c r="I173" s="8" t="s">
        <v>503</v>
      </c>
      <c r="J173" s="8" t="s">
        <v>498</v>
      </c>
      <c r="K173" s="8" t="s">
        <v>52</v>
      </c>
      <c r="L173" s="8"/>
      <c r="M173" s="8"/>
      <c r="N173" s="11" t="s">
        <v>53</v>
      </c>
      <c r="O173" s="12" t="s">
        <v>63</v>
      </c>
      <c r="P173" s="15" t="s">
        <v>58</v>
      </c>
      <c r="Q173" s="19" t="s">
        <v>499</v>
      </c>
    </row>
    <row r="174" spans="1:17" ht="27.75" customHeight="1">
      <c r="A174" s="8">
        <v>173</v>
      </c>
      <c r="B174" s="8" t="s">
        <v>494</v>
      </c>
      <c r="C174" s="10" t="s">
        <v>467</v>
      </c>
      <c r="D174" s="8" t="s">
        <v>495</v>
      </c>
      <c r="E174" s="8" t="s">
        <v>46</v>
      </c>
      <c r="F174" s="8" t="s">
        <v>65</v>
      </c>
      <c r="G174" s="17" t="s">
        <v>66</v>
      </c>
      <c r="H174" s="8" t="s">
        <v>504</v>
      </c>
      <c r="I174" s="8" t="s">
        <v>505</v>
      </c>
      <c r="J174" s="8" t="s">
        <v>498</v>
      </c>
      <c r="K174" s="8" t="s">
        <v>52</v>
      </c>
      <c r="L174" s="8"/>
      <c r="M174" s="8"/>
      <c r="N174" s="11" t="s">
        <v>53</v>
      </c>
      <c r="O174" s="12" t="s">
        <v>69</v>
      </c>
      <c r="P174" s="15" t="s">
        <v>58</v>
      </c>
      <c r="Q174" s="19" t="s">
        <v>499</v>
      </c>
    </row>
    <row r="175" spans="1:17" ht="27.75" customHeight="1">
      <c r="A175" s="8">
        <v>174</v>
      </c>
      <c r="B175" s="8" t="s">
        <v>506</v>
      </c>
      <c r="C175" s="10" t="s">
        <v>467</v>
      </c>
      <c r="D175" s="8" t="s">
        <v>507</v>
      </c>
      <c r="E175" s="8" t="s">
        <v>46</v>
      </c>
      <c r="F175" s="8" t="s">
        <v>47</v>
      </c>
      <c r="G175" s="10" t="s">
        <v>48</v>
      </c>
      <c r="H175" s="8" t="s">
        <v>508</v>
      </c>
      <c r="I175" s="8" t="s">
        <v>509</v>
      </c>
      <c r="J175" s="8" t="s">
        <v>510</v>
      </c>
      <c r="K175" s="8" t="s">
        <v>52</v>
      </c>
      <c r="L175" s="8"/>
      <c r="M175" s="8"/>
      <c r="N175" s="11" t="s">
        <v>53</v>
      </c>
      <c r="O175" s="12" t="s">
        <v>54</v>
      </c>
      <c r="P175" s="15" t="s">
        <v>58</v>
      </c>
      <c r="Q175" s="19" t="s">
        <v>511</v>
      </c>
    </row>
    <row r="176" spans="1:17" ht="27.75" customHeight="1">
      <c r="A176" s="8">
        <v>175</v>
      </c>
      <c r="B176" s="8" t="s">
        <v>506</v>
      </c>
      <c r="C176" s="10" t="s">
        <v>467</v>
      </c>
      <c r="D176" s="8" t="s">
        <v>507</v>
      </c>
      <c r="E176" s="8" t="s">
        <v>46</v>
      </c>
      <c r="F176" s="8" t="s">
        <v>47</v>
      </c>
      <c r="G176" s="10" t="s">
        <v>48</v>
      </c>
      <c r="H176" s="8" t="s">
        <v>508</v>
      </c>
      <c r="I176" s="8" t="s">
        <v>512</v>
      </c>
      <c r="J176" s="8" t="s">
        <v>510</v>
      </c>
      <c r="K176" s="8" t="s">
        <v>52</v>
      </c>
      <c r="L176" s="8"/>
      <c r="M176" s="8"/>
      <c r="N176" s="11" t="s">
        <v>53</v>
      </c>
      <c r="O176" s="12" t="s">
        <v>54</v>
      </c>
      <c r="P176" s="15" t="s">
        <v>58</v>
      </c>
      <c r="Q176" s="21" t="s">
        <v>200</v>
      </c>
    </row>
    <row r="177" spans="1:17" ht="27.75" customHeight="1">
      <c r="A177" s="8">
        <v>176</v>
      </c>
      <c r="B177" s="8" t="s">
        <v>506</v>
      </c>
      <c r="C177" s="10" t="s">
        <v>467</v>
      </c>
      <c r="D177" s="8" t="s">
        <v>507</v>
      </c>
      <c r="E177" s="8" t="s">
        <v>46</v>
      </c>
      <c r="F177" s="8" t="s">
        <v>59</v>
      </c>
      <c r="G177" s="16" t="s">
        <v>60</v>
      </c>
      <c r="H177" s="8" t="s">
        <v>513</v>
      </c>
      <c r="I177" s="8" t="s">
        <v>514</v>
      </c>
      <c r="J177" s="8" t="s">
        <v>510</v>
      </c>
      <c r="K177" s="8" t="s">
        <v>52</v>
      </c>
      <c r="L177" s="8"/>
      <c r="M177" s="8"/>
      <c r="N177" s="11" t="s">
        <v>53</v>
      </c>
      <c r="O177" s="12" t="s">
        <v>63</v>
      </c>
      <c r="P177" s="15" t="s">
        <v>58</v>
      </c>
      <c r="Q177" s="21" t="s">
        <v>200</v>
      </c>
    </row>
    <row r="178" spans="1:17" ht="27.75" customHeight="1">
      <c r="A178" s="8">
        <v>177</v>
      </c>
      <c r="B178" s="8" t="s">
        <v>506</v>
      </c>
      <c r="C178" s="10" t="s">
        <v>467</v>
      </c>
      <c r="D178" s="8" t="s">
        <v>507</v>
      </c>
      <c r="E178" s="8" t="s">
        <v>46</v>
      </c>
      <c r="F178" s="8" t="s">
        <v>59</v>
      </c>
      <c r="G178" s="16" t="s">
        <v>60</v>
      </c>
      <c r="H178" s="8" t="s">
        <v>513</v>
      </c>
      <c r="I178" s="8" t="s">
        <v>515</v>
      </c>
      <c r="J178" s="8" t="s">
        <v>510</v>
      </c>
      <c r="K178" s="8" t="s">
        <v>52</v>
      </c>
      <c r="L178" s="8"/>
      <c r="M178" s="8"/>
      <c r="N178" s="11" t="s">
        <v>53</v>
      </c>
      <c r="O178" s="12" t="s">
        <v>63</v>
      </c>
      <c r="P178" s="15" t="s">
        <v>58</v>
      </c>
      <c r="Q178" s="19" t="s">
        <v>511</v>
      </c>
    </row>
    <row r="179" spans="1:17" ht="27.75" customHeight="1">
      <c r="A179" s="8">
        <v>178</v>
      </c>
      <c r="B179" s="8" t="s">
        <v>506</v>
      </c>
      <c r="C179" s="10" t="s">
        <v>467</v>
      </c>
      <c r="D179" s="8" t="s">
        <v>507</v>
      </c>
      <c r="E179" s="8" t="s">
        <v>46</v>
      </c>
      <c r="F179" s="8" t="s">
        <v>65</v>
      </c>
      <c r="G179" s="17" t="s">
        <v>66</v>
      </c>
      <c r="H179" s="8" t="s">
        <v>516</v>
      </c>
      <c r="I179" s="8" t="s">
        <v>517</v>
      </c>
      <c r="J179" s="8" t="s">
        <v>510</v>
      </c>
      <c r="K179" s="8" t="s">
        <v>52</v>
      </c>
      <c r="L179" s="8"/>
      <c r="M179" s="8"/>
      <c r="N179" s="11" t="s">
        <v>53</v>
      </c>
      <c r="O179" s="12" t="s">
        <v>69</v>
      </c>
      <c r="P179" s="15" t="s">
        <v>518</v>
      </c>
      <c r="Q179" s="19" t="s">
        <v>511</v>
      </c>
    </row>
    <row r="180" spans="1:17" ht="27.75" customHeight="1">
      <c r="A180" s="8">
        <v>179</v>
      </c>
      <c r="B180" s="8" t="s">
        <v>519</v>
      </c>
      <c r="C180" s="28" t="s">
        <v>520</v>
      </c>
      <c r="D180" s="8" t="s">
        <v>521</v>
      </c>
      <c r="E180" s="8" t="s">
        <v>46</v>
      </c>
      <c r="F180" s="8" t="s">
        <v>47</v>
      </c>
      <c r="G180" s="10" t="s">
        <v>48</v>
      </c>
      <c r="H180" s="8" t="s">
        <v>522</v>
      </c>
      <c r="I180" s="8" t="s">
        <v>523</v>
      </c>
      <c r="J180" s="8" t="s">
        <v>524</v>
      </c>
      <c r="K180" s="8" t="s">
        <v>52</v>
      </c>
      <c r="L180" s="8"/>
      <c r="M180" s="8"/>
      <c r="N180" s="11" t="s">
        <v>53</v>
      </c>
      <c r="O180" s="12" t="s">
        <v>54</v>
      </c>
      <c r="P180" s="15" t="s">
        <v>58</v>
      </c>
      <c r="Q180" s="19" t="s">
        <v>525</v>
      </c>
    </row>
    <row r="181" spans="1:17" ht="27.75" customHeight="1">
      <c r="A181" s="8">
        <v>180</v>
      </c>
      <c r="B181" s="8" t="s">
        <v>519</v>
      </c>
      <c r="C181" s="28" t="s">
        <v>520</v>
      </c>
      <c r="D181" s="8" t="s">
        <v>521</v>
      </c>
      <c r="E181" s="8" t="s">
        <v>46</v>
      </c>
      <c r="F181" s="8" t="s">
        <v>47</v>
      </c>
      <c r="G181" s="10" t="s">
        <v>48</v>
      </c>
      <c r="H181" s="8" t="s">
        <v>522</v>
      </c>
      <c r="I181" s="8" t="s">
        <v>526</v>
      </c>
      <c r="J181" s="8" t="s">
        <v>524</v>
      </c>
      <c r="K181" s="8" t="s">
        <v>52</v>
      </c>
      <c r="L181" s="8"/>
      <c r="M181" s="8"/>
      <c r="N181" s="11" t="s">
        <v>53</v>
      </c>
      <c r="O181" s="12" t="s">
        <v>54</v>
      </c>
      <c r="P181" s="15" t="s">
        <v>58</v>
      </c>
      <c r="Q181" s="19" t="s">
        <v>525</v>
      </c>
    </row>
    <row r="182" spans="1:17" ht="27.75" customHeight="1">
      <c r="A182" s="8">
        <v>181</v>
      </c>
      <c r="B182" s="8" t="s">
        <v>519</v>
      </c>
      <c r="C182" s="28" t="s">
        <v>520</v>
      </c>
      <c r="D182" s="8" t="s">
        <v>521</v>
      </c>
      <c r="E182" s="8" t="s">
        <v>46</v>
      </c>
      <c r="F182" s="8" t="s">
        <v>47</v>
      </c>
      <c r="G182" s="10" t="s">
        <v>48</v>
      </c>
      <c r="H182" s="8" t="s">
        <v>522</v>
      </c>
      <c r="I182" s="8" t="s">
        <v>527</v>
      </c>
      <c r="J182" s="8" t="s">
        <v>524</v>
      </c>
      <c r="K182" s="8" t="s">
        <v>52</v>
      </c>
      <c r="L182" s="8"/>
      <c r="M182" s="8"/>
      <c r="N182" s="11" t="s">
        <v>53</v>
      </c>
      <c r="O182" s="12" t="s">
        <v>54</v>
      </c>
      <c r="P182" s="13" t="s">
        <v>528</v>
      </c>
      <c r="Q182" s="19" t="s">
        <v>525</v>
      </c>
    </row>
    <row r="183" spans="1:17" ht="27.75" customHeight="1">
      <c r="A183" s="8">
        <v>182</v>
      </c>
      <c r="B183" s="8" t="s">
        <v>519</v>
      </c>
      <c r="C183" s="28" t="s">
        <v>520</v>
      </c>
      <c r="D183" s="8" t="s">
        <v>521</v>
      </c>
      <c r="E183" s="8" t="s">
        <v>46</v>
      </c>
      <c r="F183" s="8" t="s">
        <v>59</v>
      </c>
      <c r="G183" s="16" t="s">
        <v>60</v>
      </c>
      <c r="H183" s="8" t="s">
        <v>529</v>
      </c>
      <c r="I183" s="8" t="s">
        <v>530</v>
      </c>
      <c r="J183" s="8" t="s">
        <v>524</v>
      </c>
      <c r="K183" s="8" t="s">
        <v>52</v>
      </c>
      <c r="L183" s="8"/>
      <c r="M183" s="8"/>
      <c r="N183" s="11" t="s">
        <v>53</v>
      </c>
      <c r="O183" s="12" t="s">
        <v>63</v>
      </c>
      <c r="P183" s="15" t="s">
        <v>58</v>
      </c>
      <c r="Q183" s="19" t="s">
        <v>525</v>
      </c>
    </row>
    <row r="184" spans="1:17" ht="27.75" customHeight="1">
      <c r="A184" s="8">
        <v>183</v>
      </c>
      <c r="B184" s="8" t="s">
        <v>519</v>
      </c>
      <c r="C184" s="28" t="s">
        <v>520</v>
      </c>
      <c r="D184" s="8" t="s">
        <v>521</v>
      </c>
      <c r="E184" s="8" t="s">
        <v>46</v>
      </c>
      <c r="F184" s="8" t="s">
        <v>59</v>
      </c>
      <c r="G184" s="16" t="s">
        <v>60</v>
      </c>
      <c r="H184" s="8" t="s">
        <v>529</v>
      </c>
      <c r="I184" s="8" t="s">
        <v>531</v>
      </c>
      <c r="J184" s="8" t="s">
        <v>524</v>
      </c>
      <c r="K184" s="8" t="s">
        <v>52</v>
      </c>
      <c r="L184" s="8"/>
      <c r="M184" s="8"/>
      <c r="N184" s="11" t="s">
        <v>53</v>
      </c>
      <c r="O184" s="12" t="s">
        <v>63</v>
      </c>
      <c r="P184" s="15" t="s">
        <v>58</v>
      </c>
      <c r="Q184" s="19" t="s">
        <v>525</v>
      </c>
    </row>
    <row r="185" spans="1:17" ht="27.75" customHeight="1">
      <c r="A185" s="8">
        <v>184</v>
      </c>
      <c r="B185" s="8" t="s">
        <v>519</v>
      </c>
      <c r="C185" s="28" t="s">
        <v>520</v>
      </c>
      <c r="D185" s="8" t="s">
        <v>521</v>
      </c>
      <c r="E185" s="8" t="s">
        <v>46</v>
      </c>
      <c r="F185" s="8" t="s">
        <v>65</v>
      </c>
      <c r="G185" s="17" t="s">
        <v>66</v>
      </c>
      <c r="H185" s="8" t="s">
        <v>532</v>
      </c>
      <c r="I185" s="8" t="s">
        <v>533</v>
      </c>
      <c r="J185" s="8" t="s">
        <v>524</v>
      </c>
      <c r="K185" s="8" t="s">
        <v>52</v>
      </c>
      <c r="L185" s="8"/>
      <c r="M185" s="8"/>
      <c r="N185" s="18" t="s">
        <v>194</v>
      </c>
      <c r="O185" s="12" t="s">
        <v>534</v>
      </c>
      <c r="P185" s="15" t="s">
        <v>58</v>
      </c>
      <c r="Q185" s="19" t="s">
        <v>525</v>
      </c>
    </row>
    <row r="186" spans="1:17" ht="27.75" customHeight="1">
      <c r="A186" s="8">
        <v>185</v>
      </c>
      <c r="B186" s="8" t="s">
        <v>535</v>
      </c>
      <c r="C186" s="28" t="s">
        <v>520</v>
      </c>
      <c r="D186" s="8" t="s">
        <v>536</v>
      </c>
      <c r="E186" s="8" t="s">
        <v>46</v>
      </c>
      <c r="F186" s="8" t="s">
        <v>47</v>
      </c>
      <c r="G186" s="10" t="s">
        <v>48</v>
      </c>
      <c r="H186" s="8" t="s">
        <v>537</v>
      </c>
      <c r="I186" s="8" t="s">
        <v>538</v>
      </c>
      <c r="J186" s="8" t="s">
        <v>539</v>
      </c>
      <c r="K186" s="8" t="s">
        <v>52</v>
      </c>
      <c r="L186" s="8"/>
      <c r="M186" s="8"/>
      <c r="N186" s="11" t="s">
        <v>53</v>
      </c>
      <c r="O186" s="12" t="s">
        <v>54</v>
      </c>
      <c r="P186" s="15" t="s">
        <v>58</v>
      </c>
      <c r="Q186" s="19" t="s">
        <v>540</v>
      </c>
    </row>
    <row r="187" spans="1:17" ht="27.75" customHeight="1">
      <c r="A187" s="8">
        <v>186</v>
      </c>
      <c r="B187" s="8" t="s">
        <v>535</v>
      </c>
      <c r="C187" s="28" t="s">
        <v>520</v>
      </c>
      <c r="D187" s="8" t="s">
        <v>536</v>
      </c>
      <c r="E187" s="8" t="s">
        <v>46</v>
      </c>
      <c r="F187" s="8" t="s">
        <v>47</v>
      </c>
      <c r="G187" s="10" t="s">
        <v>48</v>
      </c>
      <c r="H187" s="8" t="s">
        <v>537</v>
      </c>
      <c r="I187" s="8" t="s">
        <v>541</v>
      </c>
      <c r="J187" s="8" t="s">
        <v>539</v>
      </c>
      <c r="K187" s="8" t="s">
        <v>52</v>
      </c>
      <c r="L187" s="8"/>
      <c r="M187" s="8"/>
      <c r="N187" s="11" t="s">
        <v>53</v>
      </c>
      <c r="O187" s="12" t="s">
        <v>54</v>
      </c>
      <c r="P187" s="15" t="s">
        <v>58</v>
      </c>
      <c r="Q187" s="19" t="s">
        <v>540</v>
      </c>
    </row>
    <row r="188" spans="1:17" ht="27.75" customHeight="1">
      <c r="A188" s="8">
        <v>187</v>
      </c>
      <c r="B188" s="8" t="s">
        <v>535</v>
      </c>
      <c r="C188" s="28" t="s">
        <v>520</v>
      </c>
      <c r="D188" s="8" t="s">
        <v>536</v>
      </c>
      <c r="E188" s="8" t="s">
        <v>46</v>
      </c>
      <c r="F188" s="8" t="s">
        <v>59</v>
      </c>
      <c r="G188" s="16" t="s">
        <v>60</v>
      </c>
      <c r="H188" s="8" t="s">
        <v>542</v>
      </c>
      <c r="I188" s="8" t="s">
        <v>543</v>
      </c>
      <c r="J188" s="8" t="s">
        <v>539</v>
      </c>
      <c r="K188" s="8" t="s">
        <v>52</v>
      </c>
      <c r="L188" s="8"/>
      <c r="M188" s="8"/>
      <c r="N188" s="11" t="s">
        <v>53</v>
      </c>
      <c r="O188" s="12" t="s">
        <v>63</v>
      </c>
      <c r="P188" s="15" t="s">
        <v>58</v>
      </c>
      <c r="Q188" s="19" t="s">
        <v>540</v>
      </c>
    </row>
    <row r="189" spans="1:17" ht="27.75" customHeight="1">
      <c r="A189" s="8">
        <v>188</v>
      </c>
      <c r="B189" s="8" t="s">
        <v>535</v>
      </c>
      <c r="C189" s="28" t="s">
        <v>520</v>
      </c>
      <c r="D189" s="8" t="s">
        <v>536</v>
      </c>
      <c r="E189" s="8" t="s">
        <v>46</v>
      </c>
      <c r="F189" s="8" t="s">
        <v>59</v>
      </c>
      <c r="G189" s="16" t="s">
        <v>60</v>
      </c>
      <c r="H189" s="8" t="s">
        <v>542</v>
      </c>
      <c r="I189" s="8" t="s">
        <v>544</v>
      </c>
      <c r="J189" s="8" t="s">
        <v>539</v>
      </c>
      <c r="K189" s="8" t="s">
        <v>52</v>
      </c>
      <c r="L189" s="8"/>
      <c r="M189" s="8"/>
      <c r="N189" s="18" t="s">
        <v>194</v>
      </c>
      <c r="O189" s="12" t="s">
        <v>545</v>
      </c>
      <c r="P189" s="15" t="s">
        <v>58</v>
      </c>
      <c r="Q189" s="19" t="s">
        <v>540</v>
      </c>
    </row>
    <row r="190" spans="1:17" ht="27.75" customHeight="1">
      <c r="A190" s="8">
        <v>189</v>
      </c>
      <c r="B190" s="8" t="s">
        <v>535</v>
      </c>
      <c r="C190" s="28" t="s">
        <v>520</v>
      </c>
      <c r="D190" s="8" t="s">
        <v>536</v>
      </c>
      <c r="E190" s="8" t="s">
        <v>46</v>
      </c>
      <c r="F190" s="8" t="s">
        <v>65</v>
      </c>
      <c r="G190" s="17" t="s">
        <v>66</v>
      </c>
      <c r="H190" s="8" t="s">
        <v>546</v>
      </c>
      <c r="I190" s="8" t="s">
        <v>547</v>
      </c>
      <c r="J190" s="8" t="s">
        <v>539</v>
      </c>
      <c r="K190" s="8" t="s">
        <v>52</v>
      </c>
      <c r="L190" s="8"/>
      <c r="M190" s="8"/>
      <c r="N190" s="11" t="s">
        <v>53</v>
      </c>
      <c r="O190" s="12" t="s">
        <v>69</v>
      </c>
      <c r="P190" s="15" t="s">
        <v>58</v>
      </c>
      <c r="Q190" s="19" t="s">
        <v>540</v>
      </c>
    </row>
    <row r="191" spans="1:17" ht="27.75" customHeight="1">
      <c r="A191" s="8">
        <v>190</v>
      </c>
      <c r="B191" s="8" t="s">
        <v>548</v>
      </c>
      <c r="C191" s="28" t="s">
        <v>520</v>
      </c>
      <c r="D191" s="8" t="s">
        <v>549</v>
      </c>
      <c r="E191" s="8" t="s">
        <v>46</v>
      </c>
      <c r="F191" s="8" t="s">
        <v>47</v>
      </c>
      <c r="G191" s="10" t="s">
        <v>48</v>
      </c>
      <c r="H191" s="8" t="s">
        <v>550</v>
      </c>
      <c r="I191" s="8" t="s">
        <v>551</v>
      </c>
      <c r="J191" s="8" t="s">
        <v>552</v>
      </c>
      <c r="K191" s="8" t="s">
        <v>52</v>
      </c>
      <c r="L191" s="8"/>
      <c r="M191" s="8"/>
      <c r="N191" s="18" t="s">
        <v>194</v>
      </c>
      <c r="O191" s="12" t="s">
        <v>553</v>
      </c>
      <c r="P191" s="15" t="s">
        <v>58</v>
      </c>
      <c r="Q191" s="19" t="s">
        <v>554</v>
      </c>
    </row>
    <row r="192" spans="1:17" ht="27.75" customHeight="1">
      <c r="A192" s="8">
        <v>191</v>
      </c>
      <c r="B192" s="8" t="s">
        <v>548</v>
      </c>
      <c r="C192" s="28" t="s">
        <v>520</v>
      </c>
      <c r="D192" s="8" t="s">
        <v>549</v>
      </c>
      <c r="E192" s="8" t="s">
        <v>46</v>
      </c>
      <c r="F192" s="8" t="s">
        <v>47</v>
      </c>
      <c r="G192" s="10" t="s">
        <v>48</v>
      </c>
      <c r="H192" s="8" t="s">
        <v>550</v>
      </c>
      <c r="I192" s="8" t="s">
        <v>555</v>
      </c>
      <c r="J192" s="8" t="s">
        <v>552</v>
      </c>
      <c r="K192" s="8" t="s">
        <v>52</v>
      </c>
      <c r="L192" s="8"/>
      <c r="M192" s="8"/>
      <c r="N192" s="11" t="s">
        <v>53</v>
      </c>
      <c r="O192" s="12" t="s">
        <v>54</v>
      </c>
      <c r="P192" s="15" t="s">
        <v>58</v>
      </c>
      <c r="Q192" s="19" t="s">
        <v>554</v>
      </c>
    </row>
    <row r="193" spans="1:17" ht="27.75" customHeight="1">
      <c r="A193" s="8">
        <v>192</v>
      </c>
      <c r="B193" s="8" t="s">
        <v>548</v>
      </c>
      <c r="C193" s="28" t="s">
        <v>520</v>
      </c>
      <c r="D193" s="8" t="s">
        <v>549</v>
      </c>
      <c r="E193" s="8" t="s">
        <v>46</v>
      </c>
      <c r="F193" s="8" t="s">
        <v>47</v>
      </c>
      <c r="G193" s="10" t="s">
        <v>48</v>
      </c>
      <c r="H193" s="8" t="s">
        <v>550</v>
      </c>
      <c r="I193" s="8" t="s">
        <v>556</v>
      </c>
      <c r="J193" s="8" t="s">
        <v>552</v>
      </c>
      <c r="K193" s="8" t="s">
        <v>52</v>
      </c>
      <c r="L193" s="8"/>
      <c r="M193" s="8"/>
      <c r="N193" s="11" t="s">
        <v>53</v>
      </c>
      <c r="O193" s="12" t="s">
        <v>54</v>
      </c>
      <c r="P193" s="15" t="s">
        <v>58</v>
      </c>
      <c r="Q193" s="19" t="s">
        <v>554</v>
      </c>
    </row>
    <row r="194" spans="1:17" ht="27.75" customHeight="1">
      <c r="A194" s="8">
        <v>193</v>
      </c>
      <c r="B194" s="8" t="s">
        <v>548</v>
      </c>
      <c r="C194" s="28" t="s">
        <v>520</v>
      </c>
      <c r="D194" s="8" t="s">
        <v>549</v>
      </c>
      <c r="E194" s="8" t="s">
        <v>46</v>
      </c>
      <c r="F194" s="8" t="s">
        <v>59</v>
      </c>
      <c r="G194" s="16" t="s">
        <v>60</v>
      </c>
      <c r="H194" s="8" t="s">
        <v>557</v>
      </c>
      <c r="I194" s="8" t="s">
        <v>558</v>
      </c>
      <c r="J194" s="8" t="s">
        <v>552</v>
      </c>
      <c r="K194" s="8" t="s">
        <v>52</v>
      </c>
      <c r="L194" s="8"/>
      <c r="M194" s="8"/>
      <c r="N194" s="11" t="s">
        <v>53</v>
      </c>
      <c r="O194" s="12" t="s">
        <v>63</v>
      </c>
      <c r="P194" s="15" t="s">
        <v>58</v>
      </c>
      <c r="Q194" s="19" t="s">
        <v>554</v>
      </c>
    </row>
    <row r="195" spans="1:17" ht="27.75" customHeight="1">
      <c r="A195" s="8">
        <v>194</v>
      </c>
      <c r="B195" s="8" t="s">
        <v>548</v>
      </c>
      <c r="C195" s="28" t="s">
        <v>520</v>
      </c>
      <c r="D195" s="8" t="s">
        <v>549</v>
      </c>
      <c r="E195" s="8" t="s">
        <v>46</v>
      </c>
      <c r="F195" s="8" t="s">
        <v>59</v>
      </c>
      <c r="G195" s="16" t="s">
        <v>60</v>
      </c>
      <c r="H195" s="8" t="s">
        <v>557</v>
      </c>
      <c r="I195" s="8" t="s">
        <v>559</v>
      </c>
      <c r="J195" s="8" t="s">
        <v>552</v>
      </c>
      <c r="K195" s="8" t="s">
        <v>52</v>
      </c>
      <c r="L195" s="8"/>
      <c r="M195" s="8"/>
      <c r="N195" s="11" t="s">
        <v>53</v>
      </c>
      <c r="O195" s="12" t="s">
        <v>63</v>
      </c>
      <c r="P195" s="15" t="s">
        <v>58</v>
      </c>
      <c r="Q195" s="19" t="s">
        <v>554</v>
      </c>
    </row>
    <row r="196" spans="1:17" ht="27.75" customHeight="1">
      <c r="A196" s="8">
        <v>195</v>
      </c>
      <c r="B196" s="8" t="s">
        <v>548</v>
      </c>
      <c r="C196" s="28" t="s">
        <v>520</v>
      </c>
      <c r="D196" s="8" t="s">
        <v>549</v>
      </c>
      <c r="E196" s="8" t="s">
        <v>46</v>
      </c>
      <c r="F196" s="8" t="s">
        <v>65</v>
      </c>
      <c r="G196" s="17" t="s">
        <v>66</v>
      </c>
      <c r="H196" s="8" t="s">
        <v>560</v>
      </c>
      <c r="I196" s="8" t="s">
        <v>561</v>
      </c>
      <c r="J196" s="8" t="s">
        <v>552</v>
      </c>
      <c r="K196" s="8" t="s">
        <v>52</v>
      </c>
      <c r="L196" s="8"/>
      <c r="M196" s="8"/>
      <c r="N196" s="11" t="s">
        <v>53</v>
      </c>
      <c r="O196" s="12" t="s">
        <v>69</v>
      </c>
      <c r="P196" s="15" t="s">
        <v>562</v>
      </c>
      <c r="Q196" s="19" t="s">
        <v>554</v>
      </c>
    </row>
    <row r="197" spans="1:17" ht="27.75" customHeight="1">
      <c r="A197" s="8">
        <v>196</v>
      </c>
      <c r="B197" s="8" t="s">
        <v>563</v>
      </c>
      <c r="C197" s="28" t="s">
        <v>520</v>
      </c>
      <c r="D197" s="8" t="s">
        <v>564</v>
      </c>
      <c r="E197" s="8" t="s">
        <v>46</v>
      </c>
      <c r="F197" s="8" t="s">
        <v>47</v>
      </c>
      <c r="G197" s="10" t="s">
        <v>48</v>
      </c>
      <c r="H197" s="8" t="s">
        <v>565</v>
      </c>
      <c r="I197" s="8" t="s">
        <v>566</v>
      </c>
      <c r="J197" s="8" t="s">
        <v>567</v>
      </c>
      <c r="K197" s="8" t="s">
        <v>52</v>
      </c>
      <c r="L197" s="8"/>
      <c r="M197" s="8"/>
      <c r="N197" s="25" t="s">
        <v>271</v>
      </c>
      <c r="O197" s="12" t="s">
        <v>568</v>
      </c>
      <c r="P197" s="15" t="s">
        <v>58</v>
      </c>
      <c r="Q197" s="20" t="s">
        <v>299</v>
      </c>
    </row>
    <row r="198" spans="1:17" ht="27.75" customHeight="1">
      <c r="A198" s="8">
        <v>197</v>
      </c>
      <c r="B198" s="8" t="s">
        <v>563</v>
      </c>
      <c r="C198" s="28" t="s">
        <v>520</v>
      </c>
      <c r="D198" s="8" t="s">
        <v>564</v>
      </c>
      <c r="E198" s="8" t="s">
        <v>46</v>
      </c>
      <c r="F198" s="8" t="s">
        <v>47</v>
      </c>
      <c r="G198" s="10" t="s">
        <v>48</v>
      </c>
      <c r="H198" s="8" t="s">
        <v>565</v>
      </c>
      <c r="I198" s="8" t="s">
        <v>569</v>
      </c>
      <c r="J198" s="8" t="s">
        <v>567</v>
      </c>
      <c r="K198" s="8" t="s">
        <v>52</v>
      </c>
      <c r="L198" s="8"/>
      <c r="M198" s="8"/>
      <c r="N198" s="11" t="s">
        <v>53</v>
      </c>
      <c r="O198" s="12" t="s">
        <v>54</v>
      </c>
      <c r="P198" s="15" t="s">
        <v>58</v>
      </c>
      <c r="Q198" s="19" t="s">
        <v>570</v>
      </c>
    </row>
    <row r="199" spans="1:17" ht="27.75" customHeight="1">
      <c r="A199" s="8">
        <v>198</v>
      </c>
      <c r="B199" s="8" t="s">
        <v>563</v>
      </c>
      <c r="C199" s="28" t="s">
        <v>520</v>
      </c>
      <c r="D199" s="8" t="s">
        <v>564</v>
      </c>
      <c r="E199" s="8" t="s">
        <v>46</v>
      </c>
      <c r="F199" s="8" t="s">
        <v>59</v>
      </c>
      <c r="G199" s="16" t="s">
        <v>60</v>
      </c>
      <c r="H199" s="8" t="s">
        <v>571</v>
      </c>
      <c r="I199" s="8" t="s">
        <v>572</v>
      </c>
      <c r="J199" s="8" t="s">
        <v>567</v>
      </c>
      <c r="K199" s="8" t="s">
        <v>52</v>
      </c>
      <c r="L199" s="8"/>
      <c r="M199" s="8"/>
      <c r="N199" s="11" t="s">
        <v>53</v>
      </c>
      <c r="O199" s="12" t="s">
        <v>63</v>
      </c>
      <c r="P199" s="15" t="s">
        <v>58</v>
      </c>
      <c r="Q199" s="19" t="s">
        <v>570</v>
      </c>
    </row>
    <row r="200" spans="1:17" ht="27.75" customHeight="1">
      <c r="A200" s="8">
        <v>199</v>
      </c>
      <c r="B200" s="8" t="s">
        <v>563</v>
      </c>
      <c r="C200" s="28" t="s">
        <v>520</v>
      </c>
      <c r="D200" s="8" t="s">
        <v>564</v>
      </c>
      <c r="E200" s="8" t="s">
        <v>46</v>
      </c>
      <c r="F200" s="8" t="s">
        <v>59</v>
      </c>
      <c r="G200" s="16" t="s">
        <v>60</v>
      </c>
      <c r="H200" s="8" t="s">
        <v>571</v>
      </c>
      <c r="I200" s="8" t="s">
        <v>573</v>
      </c>
      <c r="J200" s="8" t="s">
        <v>567</v>
      </c>
      <c r="K200" s="8" t="s">
        <v>52</v>
      </c>
      <c r="L200" s="8"/>
      <c r="M200" s="8"/>
      <c r="N200" s="11" t="s">
        <v>53</v>
      </c>
      <c r="O200" s="12" t="s">
        <v>63</v>
      </c>
      <c r="P200" s="15" t="s">
        <v>58</v>
      </c>
      <c r="Q200" s="19" t="s">
        <v>570</v>
      </c>
    </row>
    <row r="201" spans="1:17" ht="27.75" customHeight="1">
      <c r="A201" s="8">
        <v>200</v>
      </c>
      <c r="B201" s="8" t="s">
        <v>563</v>
      </c>
      <c r="C201" s="28" t="s">
        <v>520</v>
      </c>
      <c r="D201" s="8" t="s">
        <v>564</v>
      </c>
      <c r="E201" s="8" t="s">
        <v>46</v>
      </c>
      <c r="F201" s="8" t="s">
        <v>65</v>
      </c>
      <c r="G201" s="17" t="s">
        <v>66</v>
      </c>
      <c r="H201" s="8" t="s">
        <v>574</v>
      </c>
      <c r="I201" s="8" t="s">
        <v>575</v>
      </c>
      <c r="J201" s="8" t="s">
        <v>567</v>
      </c>
      <c r="K201" s="8" t="s">
        <v>52</v>
      </c>
      <c r="L201" s="8"/>
      <c r="M201" s="8"/>
      <c r="N201" s="11" t="s">
        <v>53</v>
      </c>
      <c r="O201" s="12" t="s">
        <v>69</v>
      </c>
      <c r="P201" s="15" t="s">
        <v>58</v>
      </c>
      <c r="Q201" s="19" t="s">
        <v>570</v>
      </c>
    </row>
    <row r="202" spans="1:17" ht="41.25" customHeight="1">
      <c r="A202" s="8">
        <v>201</v>
      </c>
      <c r="B202" s="8" t="s">
        <v>576</v>
      </c>
      <c r="C202" s="29" t="s">
        <v>577</v>
      </c>
      <c r="D202" s="8" t="s">
        <v>578</v>
      </c>
      <c r="E202" s="8" t="s">
        <v>577</v>
      </c>
      <c r="F202" s="8" t="s">
        <v>51</v>
      </c>
      <c r="G202" s="10" t="s">
        <v>48</v>
      </c>
      <c r="H202" s="8" t="s">
        <v>51</v>
      </c>
      <c r="I202" s="8" t="s">
        <v>579</v>
      </c>
      <c r="J202" s="8" t="s">
        <v>51</v>
      </c>
      <c r="K202" s="8" t="s">
        <v>52</v>
      </c>
      <c r="L202" s="8"/>
      <c r="M202" s="8"/>
      <c r="N202" s="23" t="s">
        <v>243</v>
      </c>
      <c r="O202" s="12" t="s">
        <v>580</v>
      </c>
      <c r="P202" s="30" t="s">
        <v>581</v>
      </c>
      <c r="Q202" s="20" t="s">
        <v>299</v>
      </c>
    </row>
    <row r="203" spans="1:17" ht="15" customHeight="1">
      <c r="A203" s="8">
        <v>202</v>
      </c>
      <c r="B203" s="8" t="s">
        <v>582</v>
      </c>
      <c r="C203" s="29" t="s">
        <v>577</v>
      </c>
      <c r="D203" s="8" t="s">
        <v>583</v>
      </c>
      <c r="E203" s="8" t="s">
        <v>577</v>
      </c>
      <c r="F203" s="8" t="s">
        <v>51</v>
      </c>
      <c r="G203" s="10" t="s">
        <v>48</v>
      </c>
      <c r="H203" s="8" t="s">
        <v>51</v>
      </c>
      <c r="I203" s="8" t="s">
        <v>584</v>
      </c>
      <c r="J203" s="8" t="s">
        <v>51</v>
      </c>
      <c r="K203" s="8" t="s">
        <v>52</v>
      </c>
      <c r="L203" s="8"/>
      <c r="M203" s="8"/>
      <c r="N203" s="23" t="s">
        <v>243</v>
      </c>
      <c r="O203" s="12" t="s">
        <v>585</v>
      </c>
      <c r="P203" s="30" t="s">
        <v>581</v>
      </c>
      <c r="Q203" s="20" t="s">
        <v>299</v>
      </c>
    </row>
    <row r="204" spans="1:17" ht="15" customHeight="1">
      <c r="A204" s="8">
        <v>203</v>
      </c>
      <c r="B204" s="8" t="s">
        <v>586</v>
      </c>
      <c r="C204" s="29" t="s">
        <v>577</v>
      </c>
      <c r="D204" s="8" t="s">
        <v>587</v>
      </c>
      <c r="E204" s="8" t="s">
        <v>577</v>
      </c>
      <c r="F204" s="8" t="s">
        <v>51</v>
      </c>
      <c r="G204" s="10" t="s">
        <v>48</v>
      </c>
      <c r="H204" s="8" t="s">
        <v>51</v>
      </c>
      <c r="I204" s="8" t="s">
        <v>588</v>
      </c>
      <c r="J204" s="8" t="s">
        <v>51</v>
      </c>
      <c r="K204" s="8" t="s">
        <v>52</v>
      </c>
      <c r="L204" s="8"/>
      <c r="M204" s="8"/>
      <c r="N204" s="23" t="s">
        <v>243</v>
      </c>
      <c r="O204" s="12" t="s">
        <v>589</v>
      </c>
      <c r="P204" s="30" t="s">
        <v>581</v>
      </c>
      <c r="Q204" s="20" t="s">
        <v>299</v>
      </c>
    </row>
    <row r="205" spans="1:17" ht="27.75" customHeight="1">
      <c r="A205" s="8">
        <v>204</v>
      </c>
      <c r="B205" s="8" t="s">
        <v>590</v>
      </c>
      <c r="C205" s="29" t="s">
        <v>577</v>
      </c>
      <c r="D205" s="8" t="s">
        <v>591</v>
      </c>
      <c r="E205" s="8" t="s">
        <v>577</v>
      </c>
      <c r="F205" s="8" t="s">
        <v>51</v>
      </c>
      <c r="G205" s="10" t="s">
        <v>48</v>
      </c>
      <c r="H205" s="8" t="s">
        <v>51</v>
      </c>
      <c r="I205" s="8" t="s">
        <v>592</v>
      </c>
      <c r="J205" s="8" t="s">
        <v>51</v>
      </c>
      <c r="K205" s="8" t="s">
        <v>52</v>
      </c>
      <c r="L205" s="8"/>
      <c r="M205" s="8"/>
      <c r="N205" s="23" t="s">
        <v>243</v>
      </c>
      <c r="O205" s="12" t="s">
        <v>593</v>
      </c>
      <c r="P205" s="30" t="s">
        <v>581</v>
      </c>
      <c r="Q205" s="20" t="s">
        <v>299</v>
      </c>
    </row>
    <row r="206" spans="1:17" ht="27.75" customHeight="1">
      <c r="A206" s="8">
        <v>205</v>
      </c>
      <c r="B206" s="8" t="s">
        <v>594</v>
      </c>
      <c r="C206" s="29" t="s">
        <v>577</v>
      </c>
      <c r="D206" s="8" t="s">
        <v>595</v>
      </c>
      <c r="E206" s="8" t="s">
        <v>577</v>
      </c>
      <c r="F206" s="8" t="s">
        <v>51</v>
      </c>
      <c r="G206" s="10" t="s">
        <v>48</v>
      </c>
      <c r="H206" s="8" t="s">
        <v>51</v>
      </c>
      <c r="I206" s="8" t="s">
        <v>596</v>
      </c>
      <c r="J206" s="8" t="s">
        <v>51</v>
      </c>
      <c r="K206" s="8" t="s">
        <v>52</v>
      </c>
      <c r="L206" s="8"/>
      <c r="M206" s="8"/>
      <c r="N206" s="23" t="s">
        <v>243</v>
      </c>
      <c r="O206" s="12" t="s">
        <v>597</v>
      </c>
      <c r="P206" s="30" t="s">
        <v>581</v>
      </c>
      <c r="Q206" s="20" t="s">
        <v>299</v>
      </c>
    </row>
  </sheetData>
  <autoFilter ref="A1:M20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6"/>
  <sheetViews>
    <sheetView tabSelected="1" topLeftCell="D1" zoomScaleNormal="100" workbookViewId="0">
      <pane ySplit="1" topLeftCell="H62" activePane="bottomLeft" state="frozen"/>
      <selection pane="bottomLeft" activeCell="J67" sqref="J67"/>
    </sheetView>
  </sheetViews>
  <sheetFormatPr defaultColWidth="8.7109375" defaultRowHeight="15"/>
  <cols>
    <col min="1" max="1" width="5" customWidth="1"/>
    <col min="2" max="2" width="11" customWidth="1"/>
    <col min="3" max="3" width="22" customWidth="1"/>
    <col min="4" max="4" width="50" customWidth="1"/>
    <col min="5" max="5" width="14" customWidth="1"/>
    <col min="6" max="6" width="11" customWidth="1"/>
    <col min="7" max="7" width="60" customWidth="1"/>
    <col min="8" max="8" width="62.85546875" customWidth="1"/>
    <col min="9" max="9" width="60" customWidth="1"/>
    <col min="10" max="10" width="19.140625" bestFit="1" customWidth="1"/>
    <col min="11" max="11" width="63.85546875" bestFit="1" customWidth="1"/>
    <col min="12" max="12" width="48" customWidth="1"/>
  </cols>
  <sheetData>
    <row r="1" spans="1:11" ht="27.75" customHeight="1">
      <c r="A1" s="31" t="s">
        <v>26</v>
      </c>
      <c r="B1" s="31" t="s">
        <v>27</v>
      </c>
      <c r="C1" s="31" t="s">
        <v>28</v>
      </c>
      <c r="D1" s="31" t="s">
        <v>29</v>
      </c>
      <c r="E1" s="31" t="s">
        <v>31</v>
      </c>
      <c r="F1" s="31" t="s">
        <v>32</v>
      </c>
      <c r="G1" s="31" t="s">
        <v>34</v>
      </c>
      <c r="H1" s="31" t="s">
        <v>598</v>
      </c>
      <c r="I1" s="31" t="s">
        <v>599</v>
      </c>
      <c r="J1" s="31" t="s">
        <v>600</v>
      </c>
      <c r="K1" s="31" t="s">
        <v>601</v>
      </c>
    </row>
    <row r="2" spans="1:11" ht="54.75" customHeight="1">
      <c r="A2" s="12">
        <v>1</v>
      </c>
      <c r="B2" s="12" t="s">
        <v>43</v>
      </c>
      <c r="C2" s="12" t="s">
        <v>44</v>
      </c>
      <c r="D2" s="12" t="s">
        <v>45</v>
      </c>
      <c r="E2" s="12" t="s">
        <v>47</v>
      </c>
      <c r="F2" s="12" t="s">
        <v>48</v>
      </c>
      <c r="G2" s="12" t="s">
        <v>50</v>
      </c>
      <c r="H2" s="13" t="s">
        <v>55</v>
      </c>
      <c r="I2" s="14" t="s">
        <v>56</v>
      </c>
      <c r="J2" s="32" t="s">
        <v>602</v>
      </c>
      <c r="K2" s="12" t="s">
        <v>603</v>
      </c>
    </row>
    <row r="3" spans="1:11" ht="27.75" customHeight="1">
      <c r="A3" s="12">
        <v>2</v>
      </c>
      <c r="B3" s="12" t="s">
        <v>43</v>
      </c>
      <c r="C3" s="12" t="s">
        <v>44</v>
      </c>
      <c r="D3" s="12" t="s">
        <v>45</v>
      </c>
      <c r="E3" s="12" t="s">
        <v>47</v>
      </c>
      <c r="F3" s="12" t="s">
        <v>48</v>
      </c>
      <c r="G3" s="12" t="s">
        <v>57</v>
      </c>
      <c r="H3" s="15" t="s">
        <v>604</v>
      </c>
      <c r="I3" s="14" t="s">
        <v>56</v>
      </c>
      <c r="J3" s="32" t="s">
        <v>602</v>
      </c>
      <c r="K3" s="12" t="s">
        <v>603</v>
      </c>
    </row>
    <row r="4" spans="1:11" ht="27.75" customHeight="1">
      <c r="A4" s="12">
        <v>3</v>
      </c>
      <c r="B4" s="12" t="s">
        <v>43</v>
      </c>
      <c r="C4" s="12" t="s">
        <v>44</v>
      </c>
      <c r="D4" s="12" t="s">
        <v>45</v>
      </c>
      <c r="E4" s="12" t="s">
        <v>59</v>
      </c>
      <c r="F4" s="12" t="s">
        <v>60</v>
      </c>
      <c r="G4" s="12" t="s">
        <v>62</v>
      </c>
      <c r="H4" s="15" t="s">
        <v>604</v>
      </c>
      <c r="I4" s="14" t="s">
        <v>56</v>
      </c>
      <c r="J4" s="32" t="s">
        <v>602</v>
      </c>
      <c r="K4" s="12" t="s">
        <v>603</v>
      </c>
    </row>
    <row r="5" spans="1:11" ht="27.75" customHeight="1">
      <c r="A5" s="12">
        <v>4</v>
      </c>
      <c r="B5" s="12" t="s">
        <v>43</v>
      </c>
      <c r="C5" s="12" t="s">
        <v>44</v>
      </c>
      <c r="D5" s="12" t="s">
        <v>45</v>
      </c>
      <c r="E5" s="12" t="s">
        <v>59</v>
      </c>
      <c r="F5" s="12" t="s">
        <v>60</v>
      </c>
      <c r="G5" s="12" t="s">
        <v>64</v>
      </c>
      <c r="H5" s="15" t="s">
        <v>604</v>
      </c>
      <c r="I5" s="14" t="s">
        <v>56</v>
      </c>
      <c r="J5" s="32" t="s">
        <v>602</v>
      </c>
      <c r="K5" s="12" t="s">
        <v>603</v>
      </c>
    </row>
    <row r="6" spans="1:11" ht="27.75" customHeight="1">
      <c r="A6" s="12">
        <v>5</v>
      </c>
      <c r="B6" s="12" t="s">
        <v>43</v>
      </c>
      <c r="C6" s="12" t="s">
        <v>44</v>
      </c>
      <c r="D6" s="12" t="s">
        <v>45</v>
      </c>
      <c r="E6" s="12" t="s">
        <v>65</v>
      </c>
      <c r="F6" s="12" t="s">
        <v>66</v>
      </c>
      <c r="G6" s="12" t="s">
        <v>68</v>
      </c>
      <c r="H6" s="15" t="s">
        <v>604</v>
      </c>
      <c r="I6" s="14" t="s">
        <v>56</v>
      </c>
      <c r="J6" s="32" t="s">
        <v>602</v>
      </c>
      <c r="K6" s="12" t="s">
        <v>603</v>
      </c>
    </row>
    <row r="7" spans="1:11" ht="27.75" customHeight="1">
      <c r="A7" s="12">
        <v>6</v>
      </c>
      <c r="B7" s="12" t="s">
        <v>70</v>
      </c>
      <c r="C7" s="12" t="s">
        <v>44</v>
      </c>
      <c r="D7" s="12" t="s">
        <v>71</v>
      </c>
      <c r="E7" s="12" t="s">
        <v>47</v>
      </c>
      <c r="F7" s="12" t="s">
        <v>48</v>
      </c>
      <c r="G7" s="12" t="s">
        <v>73</v>
      </c>
      <c r="H7" s="15" t="s">
        <v>604</v>
      </c>
      <c r="I7" s="14" t="s">
        <v>74</v>
      </c>
      <c r="J7" s="32" t="s">
        <v>602</v>
      </c>
      <c r="K7" s="12"/>
    </row>
    <row r="8" spans="1:11" ht="27.75" customHeight="1">
      <c r="A8" s="12">
        <v>7</v>
      </c>
      <c r="B8" s="12" t="s">
        <v>70</v>
      </c>
      <c r="C8" s="12" t="s">
        <v>44</v>
      </c>
      <c r="D8" s="12" t="s">
        <v>71</v>
      </c>
      <c r="E8" s="12" t="s">
        <v>47</v>
      </c>
      <c r="F8" s="12" t="s">
        <v>48</v>
      </c>
      <c r="G8" s="12" t="s">
        <v>75</v>
      </c>
      <c r="H8" s="15" t="s">
        <v>604</v>
      </c>
      <c r="I8" s="14" t="s">
        <v>74</v>
      </c>
      <c r="J8" s="32" t="s">
        <v>602</v>
      </c>
      <c r="K8" s="12"/>
    </row>
    <row r="9" spans="1:11" ht="27.75" customHeight="1">
      <c r="A9" s="12">
        <v>8</v>
      </c>
      <c r="B9" s="12" t="s">
        <v>70</v>
      </c>
      <c r="C9" s="12" t="s">
        <v>44</v>
      </c>
      <c r="D9" s="12" t="s">
        <v>71</v>
      </c>
      <c r="E9" s="12" t="s">
        <v>59</v>
      </c>
      <c r="F9" s="12" t="s">
        <v>60</v>
      </c>
      <c r="G9" s="12" t="s">
        <v>77</v>
      </c>
      <c r="H9" s="15" t="s">
        <v>604</v>
      </c>
      <c r="I9" s="14" t="s">
        <v>74</v>
      </c>
      <c r="J9" s="32" t="s">
        <v>602</v>
      </c>
      <c r="K9" s="12"/>
    </row>
    <row r="10" spans="1:11" ht="41.25" customHeight="1">
      <c r="A10" s="12">
        <v>9</v>
      </c>
      <c r="B10" s="12" t="s">
        <v>70</v>
      </c>
      <c r="C10" s="12" t="s">
        <v>44</v>
      </c>
      <c r="D10" s="12" t="s">
        <v>71</v>
      </c>
      <c r="E10" s="12" t="s">
        <v>59</v>
      </c>
      <c r="F10" s="12" t="s">
        <v>60</v>
      </c>
      <c r="G10" s="12" t="s">
        <v>78</v>
      </c>
      <c r="H10" s="13" t="s">
        <v>79</v>
      </c>
      <c r="I10" s="14" t="s">
        <v>74</v>
      </c>
      <c r="J10" s="32" t="s">
        <v>602</v>
      </c>
      <c r="K10" s="12"/>
    </row>
    <row r="11" spans="1:11" ht="27.75" customHeight="1">
      <c r="A11" s="12">
        <v>10</v>
      </c>
      <c r="B11" s="12" t="s">
        <v>70</v>
      </c>
      <c r="C11" s="12" t="s">
        <v>44</v>
      </c>
      <c r="D11" s="12" t="s">
        <v>71</v>
      </c>
      <c r="E11" s="12" t="s">
        <v>65</v>
      </c>
      <c r="F11" s="12" t="s">
        <v>66</v>
      </c>
      <c r="G11" s="12" t="s">
        <v>81</v>
      </c>
      <c r="H11" s="15" t="s">
        <v>604</v>
      </c>
      <c r="I11" s="14" t="s">
        <v>74</v>
      </c>
      <c r="J11" s="32" t="s">
        <v>602</v>
      </c>
      <c r="K11" s="12"/>
    </row>
    <row r="12" spans="1:11" ht="41.25" customHeight="1">
      <c r="A12" s="12">
        <v>11</v>
      </c>
      <c r="B12" s="12" t="s">
        <v>82</v>
      </c>
      <c r="C12" s="12" t="s">
        <v>44</v>
      </c>
      <c r="D12" s="12" t="s">
        <v>83</v>
      </c>
      <c r="E12" s="12" t="s">
        <v>47</v>
      </c>
      <c r="F12" s="12" t="s">
        <v>48</v>
      </c>
      <c r="G12" s="12" t="s">
        <v>85</v>
      </c>
      <c r="H12" s="15" t="s">
        <v>604</v>
      </c>
      <c r="I12" s="14" t="s">
        <v>86</v>
      </c>
      <c r="J12" s="32" t="s">
        <v>602</v>
      </c>
      <c r="K12" s="12"/>
    </row>
    <row r="13" spans="1:11" ht="41.25" customHeight="1">
      <c r="A13" s="12">
        <v>12</v>
      </c>
      <c r="B13" s="12" t="s">
        <v>82</v>
      </c>
      <c r="C13" s="12" t="s">
        <v>44</v>
      </c>
      <c r="D13" s="12" t="s">
        <v>83</v>
      </c>
      <c r="E13" s="12" t="s">
        <v>47</v>
      </c>
      <c r="F13" s="12" t="s">
        <v>48</v>
      </c>
      <c r="G13" s="12" t="s">
        <v>87</v>
      </c>
      <c r="H13" s="15" t="s">
        <v>604</v>
      </c>
      <c r="I13" s="14" t="s">
        <v>86</v>
      </c>
      <c r="J13" s="32" t="s">
        <v>602</v>
      </c>
      <c r="K13" s="12"/>
    </row>
    <row r="14" spans="1:11" ht="41.25" customHeight="1">
      <c r="A14" s="12">
        <v>13</v>
      </c>
      <c r="B14" s="12" t="s">
        <v>82</v>
      </c>
      <c r="C14" s="12" t="s">
        <v>44</v>
      </c>
      <c r="D14" s="12" t="s">
        <v>83</v>
      </c>
      <c r="E14" s="12" t="s">
        <v>59</v>
      </c>
      <c r="F14" s="12" t="s">
        <v>60</v>
      </c>
      <c r="G14" s="12" t="s">
        <v>89</v>
      </c>
      <c r="H14" s="15" t="s">
        <v>604</v>
      </c>
      <c r="I14" s="14" t="s">
        <v>86</v>
      </c>
      <c r="J14" s="32" t="s">
        <v>602</v>
      </c>
      <c r="K14" s="12"/>
    </row>
    <row r="15" spans="1:11" ht="41.25" customHeight="1">
      <c r="A15" s="12">
        <v>14</v>
      </c>
      <c r="B15" s="12" t="s">
        <v>82</v>
      </c>
      <c r="C15" s="12" t="s">
        <v>44</v>
      </c>
      <c r="D15" s="12" t="s">
        <v>83</v>
      </c>
      <c r="E15" s="12" t="s">
        <v>59</v>
      </c>
      <c r="F15" s="12" t="s">
        <v>60</v>
      </c>
      <c r="G15" s="12" t="s">
        <v>90</v>
      </c>
      <c r="H15" s="15" t="s">
        <v>604</v>
      </c>
      <c r="I15" s="14" t="s">
        <v>86</v>
      </c>
      <c r="J15" s="32" t="s">
        <v>602</v>
      </c>
      <c r="K15" s="12"/>
    </row>
    <row r="16" spans="1:11" ht="41.25" customHeight="1">
      <c r="A16" s="12">
        <v>15</v>
      </c>
      <c r="B16" s="12" t="s">
        <v>82</v>
      </c>
      <c r="C16" s="12" t="s">
        <v>44</v>
      </c>
      <c r="D16" s="12" t="s">
        <v>83</v>
      </c>
      <c r="E16" s="12" t="s">
        <v>65</v>
      </c>
      <c r="F16" s="12" t="s">
        <v>66</v>
      </c>
      <c r="G16" s="12" t="s">
        <v>92</v>
      </c>
      <c r="H16" s="15" t="s">
        <v>604</v>
      </c>
      <c r="I16" s="14" t="s">
        <v>86</v>
      </c>
      <c r="J16" s="32" t="s">
        <v>602</v>
      </c>
      <c r="K16" s="12"/>
    </row>
    <row r="17" spans="1:11" ht="41.25" customHeight="1">
      <c r="A17" s="12">
        <v>16</v>
      </c>
      <c r="B17" s="12" t="s">
        <v>93</v>
      </c>
      <c r="C17" s="12" t="s">
        <v>44</v>
      </c>
      <c r="D17" s="12" t="s">
        <v>94</v>
      </c>
      <c r="E17" s="12" t="s">
        <v>47</v>
      </c>
      <c r="F17" s="12" t="s">
        <v>48</v>
      </c>
      <c r="G17" s="12" t="s">
        <v>96</v>
      </c>
      <c r="H17" s="13" t="s">
        <v>605</v>
      </c>
      <c r="I17" s="14" t="s">
        <v>100</v>
      </c>
      <c r="J17" s="32" t="s">
        <v>602</v>
      </c>
      <c r="K17" s="12"/>
    </row>
    <row r="18" spans="1:11" ht="27.75" customHeight="1">
      <c r="A18" s="12">
        <v>17</v>
      </c>
      <c r="B18" s="12" t="s">
        <v>93</v>
      </c>
      <c r="C18" s="12" t="s">
        <v>44</v>
      </c>
      <c r="D18" s="12" t="s">
        <v>94</v>
      </c>
      <c r="E18" s="12" t="s">
        <v>47</v>
      </c>
      <c r="F18" s="12" t="s">
        <v>48</v>
      </c>
      <c r="G18" s="12" t="s">
        <v>101</v>
      </c>
      <c r="H18" s="15" t="s">
        <v>604</v>
      </c>
      <c r="I18" s="14" t="s">
        <v>100</v>
      </c>
      <c r="J18" s="32" t="s">
        <v>602</v>
      </c>
      <c r="K18" s="12"/>
    </row>
    <row r="19" spans="1:11" ht="27.75" customHeight="1">
      <c r="A19" s="12">
        <v>18</v>
      </c>
      <c r="B19" s="12" t="s">
        <v>93</v>
      </c>
      <c r="C19" s="12" t="s">
        <v>44</v>
      </c>
      <c r="D19" s="12" t="s">
        <v>94</v>
      </c>
      <c r="E19" s="12" t="s">
        <v>59</v>
      </c>
      <c r="F19" s="12" t="s">
        <v>60</v>
      </c>
      <c r="G19" s="12" t="s">
        <v>103</v>
      </c>
      <c r="H19" s="15" t="s">
        <v>604</v>
      </c>
      <c r="I19" s="14" t="s">
        <v>100</v>
      </c>
      <c r="J19" s="32" t="s">
        <v>602</v>
      </c>
      <c r="K19" s="12"/>
    </row>
    <row r="20" spans="1:11" ht="27.75" customHeight="1">
      <c r="A20" s="12">
        <v>19</v>
      </c>
      <c r="B20" s="12" t="s">
        <v>93</v>
      </c>
      <c r="C20" s="12" t="s">
        <v>44</v>
      </c>
      <c r="D20" s="12" t="s">
        <v>94</v>
      </c>
      <c r="E20" s="12" t="s">
        <v>59</v>
      </c>
      <c r="F20" s="12" t="s">
        <v>60</v>
      </c>
      <c r="G20" s="12" t="s">
        <v>104</v>
      </c>
      <c r="H20" s="15" t="s">
        <v>604</v>
      </c>
      <c r="I20" s="14" t="s">
        <v>100</v>
      </c>
      <c r="J20" s="32" t="s">
        <v>602</v>
      </c>
      <c r="K20" s="12"/>
    </row>
    <row r="21" spans="1:11" ht="27.75" customHeight="1">
      <c r="A21" s="12">
        <v>20</v>
      </c>
      <c r="B21" s="12" t="s">
        <v>93</v>
      </c>
      <c r="C21" s="12" t="s">
        <v>44</v>
      </c>
      <c r="D21" s="12" t="s">
        <v>94</v>
      </c>
      <c r="E21" s="12" t="s">
        <v>65</v>
      </c>
      <c r="F21" s="12" t="s">
        <v>66</v>
      </c>
      <c r="G21" s="12" t="s">
        <v>106</v>
      </c>
      <c r="H21" s="15" t="s">
        <v>604</v>
      </c>
      <c r="I21" s="14" t="s">
        <v>100</v>
      </c>
      <c r="J21" s="32" t="s">
        <v>602</v>
      </c>
      <c r="K21" s="12"/>
    </row>
    <row r="22" spans="1:11" ht="27.75" customHeight="1">
      <c r="A22" s="12">
        <v>21</v>
      </c>
      <c r="B22" s="12" t="s">
        <v>107</v>
      </c>
      <c r="C22" s="12" t="s">
        <v>44</v>
      </c>
      <c r="D22" s="12" t="s">
        <v>108</v>
      </c>
      <c r="E22" s="12" t="s">
        <v>47</v>
      </c>
      <c r="F22" s="12" t="s">
        <v>48</v>
      </c>
      <c r="G22" s="12" t="s">
        <v>110</v>
      </c>
      <c r="H22" s="15" t="s">
        <v>604</v>
      </c>
      <c r="I22" s="19" t="s">
        <v>111</v>
      </c>
      <c r="J22" s="32" t="s">
        <v>602</v>
      </c>
      <c r="K22" s="12" t="s">
        <v>606</v>
      </c>
    </row>
    <row r="23" spans="1:11" ht="27.75" customHeight="1">
      <c r="A23" s="12">
        <v>22</v>
      </c>
      <c r="B23" s="12" t="s">
        <v>107</v>
      </c>
      <c r="C23" s="12" t="s">
        <v>44</v>
      </c>
      <c r="D23" s="12" t="s">
        <v>108</v>
      </c>
      <c r="E23" s="12" t="s">
        <v>47</v>
      </c>
      <c r="F23" s="12" t="s">
        <v>48</v>
      </c>
      <c r="G23" s="12" t="s">
        <v>112</v>
      </c>
      <c r="H23" s="15" t="s">
        <v>604</v>
      </c>
      <c r="I23" s="19" t="s">
        <v>111</v>
      </c>
      <c r="J23" s="32" t="s">
        <v>602</v>
      </c>
      <c r="K23" s="12" t="s">
        <v>606</v>
      </c>
    </row>
    <row r="24" spans="1:11" ht="54.75" customHeight="1">
      <c r="A24" s="12">
        <v>23</v>
      </c>
      <c r="B24" s="12" t="s">
        <v>107</v>
      </c>
      <c r="C24" s="12" t="s">
        <v>44</v>
      </c>
      <c r="D24" s="12" t="s">
        <v>108</v>
      </c>
      <c r="E24" s="12" t="s">
        <v>59</v>
      </c>
      <c r="F24" s="12" t="s">
        <v>60</v>
      </c>
      <c r="G24" s="12" t="s">
        <v>114</v>
      </c>
      <c r="H24" s="13" t="s">
        <v>115</v>
      </c>
      <c r="I24" s="19" t="s">
        <v>111</v>
      </c>
      <c r="J24" s="32" t="s">
        <v>602</v>
      </c>
      <c r="K24" s="12" t="s">
        <v>606</v>
      </c>
    </row>
    <row r="25" spans="1:11" ht="27.75" customHeight="1">
      <c r="A25" s="12">
        <v>24</v>
      </c>
      <c r="B25" s="12" t="s">
        <v>107</v>
      </c>
      <c r="C25" s="12" t="s">
        <v>44</v>
      </c>
      <c r="D25" s="12" t="s">
        <v>108</v>
      </c>
      <c r="E25" s="12" t="s">
        <v>59</v>
      </c>
      <c r="F25" s="12" t="s">
        <v>60</v>
      </c>
      <c r="G25" s="12" t="s">
        <v>116</v>
      </c>
      <c r="H25" s="15" t="s">
        <v>604</v>
      </c>
      <c r="I25" s="19" t="s">
        <v>111</v>
      </c>
      <c r="J25" s="32" t="s">
        <v>602</v>
      </c>
      <c r="K25" s="12" t="s">
        <v>606</v>
      </c>
    </row>
    <row r="26" spans="1:11" ht="27.75" customHeight="1">
      <c r="A26" s="12">
        <v>25</v>
      </c>
      <c r="B26" s="12" t="s">
        <v>107</v>
      </c>
      <c r="C26" s="12" t="s">
        <v>44</v>
      </c>
      <c r="D26" s="12" t="s">
        <v>108</v>
      </c>
      <c r="E26" s="12" t="s">
        <v>65</v>
      </c>
      <c r="F26" s="12" t="s">
        <v>66</v>
      </c>
      <c r="G26" s="12" t="s">
        <v>118</v>
      </c>
      <c r="H26" s="15" t="s">
        <v>604</v>
      </c>
      <c r="I26" s="19" t="s">
        <v>111</v>
      </c>
      <c r="J26" s="32" t="s">
        <v>602</v>
      </c>
      <c r="K26" s="12" t="s">
        <v>606</v>
      </c>
    </row>
    <row r="27" spans="1:11" ht="27.75" customHeight="1">
      <c r="A27" s="12">
        <v>26</v>
      </c>
      <c r="B27" s="12" t="s">
        <v>119</v>
      </c>
      <c r="C27" s="12" t="s">
        <v>44</v>
      </c>
      <c r="D27" s="12" t="s">
        <v>120</v>
      </c>
      <c r="E27" s="12" t="s">
        <v>47</v>
      </c>
      <c r="F27" s="12" t="s">
        <v>48</v>
      </c>
      <c r="G27" s="12" t="s">
        <v>122</v>
      </c>
      <c r="H27" s="15" t="s">
        <v>604</v>
      </c>
      <c r="I27" s="19" t="s">
        <v>123</v>
      </c>
      <c r="J27" s="32" t="s">
        <v>602</v>
      </c>
      <c r="K27" s="12"/>
    </row>
    <row r="28" spans="1:11" ht="27.75" customHeight="1">
      <c r="A28" s="12">
        <v>27</v>
      </c>
      <c r="B28" s="12" t="s">
        <v>119</v>
      </c>
      <c r="C28" s="12" t="s">
        <v>44</v>
      </c>
      <c r="D28" s="12" t="s">
        <v>120</v>
      </c>
      <c r="E28" s="12" t="s">
        <v>47</v>
      </c>
      <c r="F28" s="12" t="s">
        <v>48</v>
      </c>
      <c r="G28" s="12" t="s">
        <v>124</v>
      </c>
      <c r="H28" s="15" t="s">
        <v>604</v>
      </c>
      <c r="I28" s="19" t="s">
        <v>123</v>
      </c>
      <c r="J28" s="32" t="s">
        <v>602</v>
      </c>
      <c r="K28" s="12"/>
    </row>
    <row r="29" spans="1:11" ht="27.75" customHeight="1">
      <c r="A29" s="12">
        <v>28</v>
      </c>
      <c r="B29" s="12" t="s">
        <v>119</v>
      </c>
      <c r="C29" s="12" t="s">
        <v>44</v>
      </c>
      <c r="D29" s="12" t="s">
        <v>120</v>
      </c>
      <c r="E29" s="12" t="s">
        <v>59</v>
      </c>
      <c r="F29" s="12" t="s">
        <v>60</v>
      </c>
      <c r="G29" s="12" t="s">
        <v>126</v>
      </c>
      <c r="H29" s="15" t="s">
        <v>604</v>
      </c>
      <c r="I29" s="19" t="s">
        <v>123</v>
      </c>
      <c r="J29" s="32" t="s">
        <v>602</v>
      </c>
      <c r="K29" s="12"/>
    </row>
    <row r="30" spans="1:11" ht="41.25" customHeight="1">
      <c r="A30" s="12">
        <v>29</v>
      </c>
      <c r="B30" s="12" t="s">
        <v>119</v>
      </c>
      <c r="C30" s="12" t="s">
        <v>44</v>
      </c>
      <c r="D30" s="12" t="s">
        <v>120</v>
      </c>
      <c r="E30" s="12" t="s">
        <v>59</v>
      </c>
      <c r="F30" s="12" t="s">
        <v>60</v>
      </c>
      <c r="G30" s="12" t="s">
        <v>127</v>
      </c>
      <c r="H30" s="13" t="s">
        <v>128</v>
      </c>
      <c r="I30" s="19" t="s">
        <v>123</v>
      </c>
      <c r="J30" s="32" t="s">
        <v>602</v>
      </c>
      <c r="K30" s="12"/>
    </row>
    <row r="31" spans="1:11" ht="27.75" customHeight="1">
      <c r="A31" s="12">
        <v>30</v>
      </c>
      <c r="B31" s="12" t="s">
        <v>119</v>
      </c>
      <c r="C31" s="12" t="s">
        <v>44</v>
      </c>
      <c r="D31" s="12" t="s">
        <v>120</v>
      </c>
      <c r="E31" s="12" t="s">
        <v>65</v>
      </c>
      <c r="F31" s="12" t="s">
        <v>66</v>
      </c>
      <c r="G31" s="12" t="s">
        <v>130</v>
      </c>
      <c r="H31" s="15" t="s">
        <v>604</v>
      </c>
      <c r="I31" s="19" t="s">
        <v>123</v>
      </c>
      <c r="J31" s="32" t="s">
        <v>602</v>
      </c>
      <c r="K31" s="12"/>
    </row>
    <row r="32" spans="1:11" ht="27.75" customHeight="1">
      <c r="A32" s="12">
        <v>31</v>
      </c>
      <c r="B32" s="12" t="s">
        <v>131</v>
      </c>
      <c r="C32" s="12" t="s">
        <v>44</v>
      </c>
      <c r="D32" s="12" t="s">
        <v>132</v>
      </c>
      <c r="E32" s="12" t="s">
        <v>47</v>
      </c>
      <c r="F32" s="12" t="s">
        <v>48</v>
      </c>
      <c r="G32" s="12" t="s">
        <v>134</v>
      </c>
      <c r="H32" s="15" t="s">
        <v>604</v>
      </c>
      <c r="I32" s="20" t="s">
        <v>138</v>
      </c>
      <c r="J32" s="32" t="s">
        <v>602</v>
      </c>
      <c r="K32" s="12"/>
    </row>
    <row r="33" spans="1:11" ht="27.75" customHeight="1">
      <c r="A33" s="12">
        <v>32</v>
      </c>
      <c r="B33" s="12" t="s">
        <v>131</v>
      </c>
      <c r="C33" s="12" t="s">
        <v>44</v>
      </c>
      <c r="D33" s="12" t="s">
        <v>132</v>
      </c>
      <c r="E33" s="12" t="s">
        <v>47</v>
      </c>
      <c r="F33" s="12" t="s">
        <v>48</v>
      </c>
      <c r="G33" s="12" t="s">
        <v>139</v>
      </c>
      <c r="H33" s="15" t="s">
        <v>604</v>
      </c>
      <c r="I33" s="20" t="s">
        <v>138</v>
      </c>
      <c r="J33" s="32" t="s">
        <v>602</v>
      </c>
      <c r="K33" s="12"/>
    </row>
    <row r="34" spans="1:11" ht="27.75" customHeight="1">
      <c r="A34" s="12">
        <v>33</v>
      </c>
      <c r="B34" s="12" t="s">
        <v>131</v>
      </c>
      <c r="C34" s="12" t="s">
        <v>44</v>
      </c>
      <c r="D34" s="12" t="s">
        <v>132</v>
      </c>
      <c r="E34" s="12" t="s">
        <v>59</v>
      </c>
      <c r="F34" s="12" t="s">
        <v>60</v>
      </c>
      <c r="G34" s="12" t="s">
        <v>141</v>
      </c>
      <c r="H34" s="15" t="s">
        <v>604</v>
      </c>
      <c r="I34" s="20" t="s">
        <v>138</v>
      </c>
      <c r="J34" s="32" t="s">
        <v>602</v>
      </c>
      <c r="K34" s="12"/>
    </row>
    <row r="35" spans="1:11" ht="27.75" customHeight="1">
      <c r="A35" s="12">
        <v>34</v>
      </c>
      <c r="B35" s="12" t="s">
        <v>131</v>
      </c>
      <c r="C35" s="12" t="s">
        <v>44</v>
      </c>
      <c r="D35" s="12" t="s">
        <v>132</v>
      </c>
      <c r="E35" s="12" t="s">
        <v>59</v>
      </c>
      <c r="F35" s="12" t="s">
        <v>60</v>
      </c>
      <c r="G35" s="12" t="s">
        <v>142</v>
      </c>
      <c r="H35" s="15" t="s">
        <v>604</v>
      </c>
      <c r="I35" s="20" t="s">
        <v>138</v>
      </c>
      <c r="J35" s="32" t="s">
        <v>602</v>
      </c>
      <c r="K35" s="12"/>
    </row>
    <row r="36" spans="1:11" ht="27.75" customHeight="1">
      <c r="A36" s="12">
        <v>35</v>
      </c>
      <c r="B36" s="12" t="s">
        <v>131</v>
      </c>
      <c r="C36" s="12" t="s">
        <v>44</v>
      </c>
      <c r="D36" s="12" t="s">
        <v>132</v>
      </c>
      <c r="E36" s="12" t="s">
        <v>65</v>
      </c>
      <c r="F36" s="12" t="s">
        <v>66</v>
      </c>
      <c r="G36" s="12" t="s">
        <v>144</v>
      </c>
      <c r="H36" s="15" t="s">
        <v>604</v>
      </c>
      <c r="I36" s="20" t="s">
        <v>138</v>
      </c>
      <c r="J36" s="32" t="s">
        <v>602</v>
      </c>
      <c r="K36" s="12"/>
    </row>
    <row r="37" spans="1:11" ht="41.25" customHeight="1">
      <c r="A37" s="12">
        <v>36</v>
      </c>
      <c r="B37" s="12" t="s">
        <v>145</v>
      </c>
      <c r="C37" s="12" t="s">
        <v>44</v>
      </c>
      <c r="D37" s="12" t="s">
        <v>146</v>
      </c>
      <c r="E37" s="12" t="s">
        <v>47</v>
      </c>
      <c r="F37" s="12" t="s">
        <v>48</v>
      </c>
      <c r="G37" s="12" t="s">
        <v>148</v>
      </c>
      <c r="H37" s="15" t="s">
        <v>604</v>
      </c>
      <c r="I37" s="20" t="s">
        <v>151</v>
      </c>
      <c r="J37" s="32" t="s">
        <v>602</v>
      </c>
      <c r="K37" s="12" t="s">
        <v>607</v>
      </c>
    </row>
    <row r="38" spans="1:11" ht="41.25" customHeight="1">
      <c r="A38" s="12">
        <v>37</v>
      </c>
      <c r="B38" s="12" t="s">
        <v>145</v>
      </c>
      <c r="C38" s="12" t="s">
        <v>44</v>
      </c>
      <c r="D38" s="12" t="s">
        <v>146</v>
      </c>
      <c r="E38" s="12" t="s">
        <v>47</v>
      </c>
      <c r="F38" s="12" t="s">
        <v>48</v>
      </c>
      <c r="G38" s="12" t="s">
        <v>152</v>
      </c>
      <c r="H38" s="15" t="s">
        <v>604</v>
      </c>
      <c r="I38" s="20" t="s">
        <v>151</v>
      </c>
      <c r="J38" s="32" t="s">
        <v>602</v>
      </c>
      <c r="K38" s="12" t="s">
        <v>607</v>
      </c>
    </row>
    <row r="39" spans="1:11" ht="41.25" customHeight="1">
      <c r="A39" s="12">
        <v>38</v>
      </c>
      <c r="B39" s="12" t="s">
        <v>145</v>
      </c>
      <c r="C39" s="12" t="s">
        <v>44</v>
      </c>
      <c r="D39" s="12" t="s">
        <v>146</v>
      </c>
      <c r="E39" s="12" t="s">
        <v>59</v>
      </c>
      <c r="F39" s="12" t="s">
        <v>60</v>
      </c>
      <c r="G39" s="12" t="s">
        <v>154</v>
      </c>
      <c r="H39" s="15" t="s">
        <v>604</v>
      </c>
      <c r="I39" s="20" t="s">
        <v>151</v>
      </c>
      <c r="J39" s="32" t="s">
        <v>602</v>
      </c>
      <c r="K39" s="12" t="s">
        <v>607</v>
      </c>
    </row>
    <row r="40" spans="1:11" ht="41.25" customHeight="1">
      <c r="A40" s="12">
        <v>39</v>
      </c>
      <c r="B40" s="12" t="s">
        <v>145</v>
      </c>
      <c r="C40" s="12" t="s">
        <v>44</v>
      </c>
      <c r="D40" s="12" t="s">
        <v>146</v>
      </c>
      <c r="E40" s="12" t="s">
        <v>59</v>
      </c>
      <c r="F40" s="12" t="s">
        <v>60</v>
      </c>
      <c r="G40" s="12" t="s">
        <v>155</v>
      </c>
      <c r="H40" s="13" t="s">
        <v>156</v>
      </c>
      <c r="I40" s="20" t="s">
        <v>151</v>
      </c>
      <c r="J40" s="32" t="s">
        <v>602</v>
      </c>
      <c r="K40" s="12" t="s">
        <v>607</v>
      </c>
    </row>
    <row r="41" spans="1:11" ht="41.25" customHeight="1">
      <c r="A41" s="12">
        <v>40</v>
      </c>
      <c r="B41" s="12" t="s">
        <v>145</v>
      </c>
      <c r="C41" s="12" t="s">
        <v>44</v>
      </c>
      <c r="D41" s="12" t="s">
        <v>146</v>
      </c>
      <c r="E41" s="12" t="s">
        <v>65</v>
      </c>
      <c r="F41" s="12" t="s">
        <v>66</v>
      </c>
      <c r="G41" s="12" t="s">
        <v>158</v>
      </c>
      <c r="H41" s="15" t="s">
        <v>604</v>
      </c>
      <c r="I41" s="20" t="s">
        <v>151</v>
      </c>
      <c r="J41" s="32" t="s">
        <v>602</v>
      </c>
      <c r="K41" s="12" t="s">
        <v>607</v>
      </c>
    </row>
    <row r="42" spans="1:11" ht="27.75" customHeight="1">
      <c r="A42" s="12">
        <v>41</v>
      </c>
      <c r="B42" s="12" t="s">
        <v>159</v>
      </c>
      <c r="C42" s="12" t="s">
        <v>44</v>
      </c>
      <c r="D42" s="12" t="s">
        <v>160</v>
      </c>
      <c r="E42" s="12" t="s">
        <v>47</v>
      </c>
      <c r="F42" s="12" t="s">
        <v>48</v>
      </c>
      <c r="G42" s="12" t="s">
        <v>162</v>
      </c>
      <c r="H42" s="15" t="s">
        <v>604</v>
      </c>
      <c r="I42" s="19" t="s">
        <v>163</v>
      </c>
      <c r="J42" s="32" t="s">
        <v>602</v>
      </c>
      <c r="K42" s="12" t="s">
        <v>608</v>
      </c>
    </row>
    <row r="43" spans="1:11" ht="27.75" customHeight="1">
      <c r="A43" s="12">
        <v>42</v>
      </c>
      <c r="B43" s="12" t="s">
        <v>159</v>
      </c>
      <c r="C43" s="12" t="s">
        <v>44</v>
      </c>
      <c r="D43" s="12" t="s">
        <v>160</v>
      </c>
      <c r="E43" s="12" t="s">
        <v>47</v>
      </c>
      <c r="F43" s="12" t="s">
        <v>48</v>
      </c>
      <c r="G43" s="12" t="s">
        <v>164</v>
      </c>
      <c r="H43" s="15" t="s">
        <v>604</v>
      </c>
      <c r="I43" s="19" t="s">
        <v>163</v>
      </c>
      <c r="J43" s="32" t="s">
        <v>602</v>
      </c>
      <c r="K43" s="12" t="s">
        <v>608</v>
      </c>
    </row>
    <row r="44" spans="1:11" ht="27.75" customHeight="1">
      <c r="A44" s="12">
        <v>43</v>
      </c>
      <c r="B44" s="12" t="s">
        <v>159</v>
      </c>
      <c r="C44" s="12" t="s">
        <v>44</v>
      </c>
      <c r="D44" s="12" t="s">
        <v>160</v>
      </c>
      <c r="E44" s="12" t="s">
        <v>59</v>
      </c>
      <c r="F44" s="12" t="s">
        <v>60</v>
      </c>
      <c r="G44" s="12" t="s">
        <v>166</v>
      </c>
      <c r="H44" s="15" t="s">
        <v>604</v>
      </c>
      <c r="I44" s="19" t="s">
        <v>163</v>
      </c>
      <c r="J44" s="32" t="s">
        <v>602</v>
      </c>
      <c r="K44" s="12" t="s">
        <v>608</v>
      </c>
    </row>
    <row r="45" spans="1:11" ht="27.75" customHeight="1">
      <c r="A45" s="12">
        <v>44</v>
      </c>
      <c r="B45" s="12" t="s">
        <v>159</v>
      </c>
      <c r="C45" s="12" t="s">
        <v>44</v>
      </c>
      <c r="D45" s="12" t="s">
        <v>160</v>
      </c>
      <c r="E45" s="12" t="s">
        <v>59</v>
      </c>
      <c r="F45" s="12" t="s">
        <v>60</v>
      </c>
      <c r="G45" s="12" t="s">
        <v>167</v>
      </c>
      <c r="H45" s="15" t="s">
        <v>604</v>
      </c>
      <c r="I45" s="19" t="s">
        <v>163</v>
      </c>
      <c r="J45" s="32" t="s">
        <v>602</v>
      </c>
      <c r="K45" s="12" t="s">
        <v>608</v>
      </c>
    </row>
    <row r="46" spans="1:11" ht="27.75" customHeight="1">
      <c r="A46" s="12">
        <v>45</v>
      </c>
      <c r="B46" s="12" t="s">
        <v>159</v>
      </c>
      <c r="C46" s="12" t="s">
        <v>44</v>
      </c>
      <c r="D46" s="12" t="s">
        <v>160</v>
      </c>
      <c r="E46" s="12" t="s">
        <v>65</v>
      </c>
      <c r="F46" s="12" t="s">
        <v>66</v>
      </c>
      <c r="G46" s="12" t="s">
        <v>169</v>
      </c>
      <c r="H46" s="15" t="s">
        <v>604</v>
      </c>
      <c r="I46" s="19" t="s">
        <v>163</v>
      </c>
      <c r="J46" s="32" t="s">
        <v>602</v>
      </c>
      <c r="K46" s="12" t="s">
        <v>608</v>
      </c>
    </row>
    <row r="47" spans="1:11" ht="41.25" customHeight="1">
      <c r="A47" s="12">
        <v>46</v>
      </c>
      <c r="B47" s="12" t="s">
        <v>170</v>
      </c>
      <c r="C47" s="12" t="s">
        <v>44</v>
      </c>
      <c r="D47" s="12" t="s">
        <v>171</v>
      </c>
      <c r="E47" s="12" t="s">
        <v>47</v>
      </c>
      <c r="F47" s="12" t="s">
        <v>48</v>
      </c>
      <c r="G47" s="12" t="s">
        <v>173</v>
      </c>
      <c r="H47" s="13" t="s">
        <v>609</v>
      </c>
      <c r="I47" s="19" t="s">
        <v>176</v>
      </c>
      <c r="J47" s="32" t="s">
        <v>602</v>
      </c>
      <c r="K47" s="12"/>
    </row>
    <row r="48" spans="1:11" ht="27.75" customHeight="1">
      <c r="A48" s="12">
        <v>47</v>
      </c>
      <c r="B48" s="12" t="s">
        <v>170</v>
      </c>
      <c r="C48" s="12" t="s">
        <v>44</v>
      </c>
      <c r="D48" s="12" t="s">
        <v>171</v>
      </c>
      <c r="E48" s="12" t="s">
        <v>47</v>
      </c>
      <c r="F48" s="12" t="s">
        <v>48</v>
      </c>
      <c r="G48" s="12" t="s">
        <v>177</v>
      </c>
      <c r="H48" s="15" t="s">
        <v>604</v>
      </c>
      <c r="I48" s="19" t="s">
        <v>176</v>
      </c>
      <c r="J48" s="32" t="s">
        <v>602</v>
      </c>
      <c r="K48" s="12"/>
    </row>
    <row r="49" spans="1:11" ht="27.75" customHeight="1">
      <c r="A49" s="12">
        <v>48</v>
      </c>
      <c r="B49" s="12" t="s">
        <v>170</v>
      </c>
      <c r="C49" s="12" t="s">
        <v>44</v>
      </c>
      <c r="D49" s="12" t="s">
        <v>171</v>
      </c>
      <c r="E49" s="12" t="s">
        <v>59</v>
      </c>
      <c r="F49" s="12" t="s">
        <v>60</v>
      </c>
      <c r="G49" s="12" t="s">
        <v>179</v>
      </c>
      <c r="H49" s="15" t="s">
        <v>604</v>
      </c>
      <c r="I49" s="19" t="s">
        <v>176</v>
      </c>
      <c r="J49" s="32" t="s">
        <v>602</v>
      </c>
      <c r="K49" s="12"/>
    </row>
    <row r="50" spans="1:11" ht="27.75" customHeight="1">
      <c r="A50" s="12">
        <v>49</v>
      </c>
      <c r="B50" s="12" t="s">
        <v>170</v>
      </c>
      <c r="C50" s="12" t="s">
        <v>44</v>
      </c>
      <c r="D50" s="12" t="s">
        <v>171</v>
      </c>
      <c r="E50" s="12" t="s">
        <v>59</v>
      </c>
      <c r="F50" s="12" t="s">
        <v>60</v>
      </c>
      <c r="G50" s="12" t="s">
        <v>180</v>
      </c>
      <c r="H50" s="15" t="s">
        <v>604</v>
      </c>
      <c r="I50" s="19" t="s">
        <v>176</v>
      </c>
      <c r="J50" s="32" t="s">
        <v>602</v>
      </c>
      <c r="K50" s="12"/>
    </row>
    <row r="51" spans="1:11" ht="27.75" customHeight="1">
      <c r="A51" s="12">
        <v>50</v>
      </c>
      <c r="B51" s="12" t="s">
        <v>170</v>
      </c>
      <c r="C51" s="12" t="s">
        <v>44</v>
      </c>
      <c r="D51" s="12" t="s">
        <v>171</v>
      </c>
      <c r="E51" s="12" t="s">
        <v>65</v>
      </c>
      <c r="F51" s="12" t="s">
        <v>66</v>
      </c>
      <c r="G51" s="12" t="s">
        <v>182</v>
      </c>
      <c r="H51" s="15" t="s">
        <v>604</v>
      </c>
      <c r="I51" s="19" t="s">
        <v>176</v>
      </c>
      <c r="J51" s="32" t="s">
        <v>602</v>
      </c>
      <c r="K51" s="12"/>
    </row>
    <row r="52" spans="1:11" ht="41.25" customHeight="1">
      <c r="A52" s="12">
        <v>51</v>
      </c>
      <c r="B52" s="12" t="s">
        <v>183</v>
      </c>
      <c r="C52" s="12" t="s">
        <v>184</v>
      </c>
      <c r="D52" s="12" t="s">
        <v>185</v>
      </c>
      <c r="E52" s="12" t="s">
        <v>47</v>
      </c>
      <c r="F52" s="12" t="s">
        <v>48</v>
      </c>
      <c r="G52" s="12" t="s">
        <v>187</v>
      </c>
      <c r="H52" s="15" t="s">
        <v>604</v>
      </c>
      <c r="I52" s="21" t="s">
        <v>189</v>
      </c>
      <c r="J52" s="32" t="s">
        <v>602</v>
      </c>
      <c r="K52" s="61" t="s">
        <v>610</v>
      </c>
    </row>
    <row r="53" spans="1:11" ht="27.75" customHeight="1">
      <c r="A53" s="12">
        <v>52</v>
      </c>
      <c r="B53" s="12" t="s">
        <v>183</v>
      </c>
      <c r="C53" s="12" t="s">
        <v>184</v>
      </c>
      <c r="D53" s="12" t="s">
        <v>185</v>
      </c>
      <c r="E53" s="12" t="s">
        <v>47</v>
      </c>
      <c r="F53" s="12" t="s">
        <v>48</v>
      </c>
      <c r="G53" s="12" t="s">
        <v>190</v>
      </c>
      <c r="H53" s="15" t="s">
        <v>604</v>
      </c>
      <c r="I53" s="21" t="s">
        <v>189</v>
      </c>
      <c r="J53" s="32" t="s">
        <v>602</v>
      </c>
      <c r="K53" s="61" t="s">
        <v>611</v>
      </c>
    </row>
    <row r="54" spans="1:11" ht="41.25" customHeight="1">
      <c r="A54" s="12">
        <v>53</v>
      </c>
      <c r="B54" s="12" t="s">
        <v>183</v>
      </c>
      <c r="C54" s="12" t="s">
        <v>184</v>
      </c>
      <c r="D54" s="12" t="s">
        <v>185</v>
      </c>
      <c r="E54" s="12" t="s">
        <v>59</v>
      </c>
      <c r="F54" s="12" t="s">
        <v>60</v>
      </c>
      <c r="G54" s="12" t="s">
        <v>192</v>
      </c>
      <c r="H54" s="15" t="s">
        <v>604</v>
      </c>
      <c r="I54" s="21" t="s">
        <v>189</v>
      </c>
      <c r="J54" s="32" t="s">
        <v>602</v>
      </c>
      <c r="K54" s="61" t="s">
        <v>611</v>
      </c>
    </row>
    <row r="55" spans="1:11" ht="41.25" customHeight="1">
      <c r="A55" s="12">
        <v>54</v>
      </c>
      <c r="B55" s="12" t="s">
        <v>183</v>
      </c>
      <c r="C55" s="12" t="s">
        <v>184</v>
      </c>
      <c r="D55" s="12" t="s">
        <v>185</v>
      </c>
      <c r="E55" s="12" t="s">
        <v>59</v>
      </c>
      <c r="F55" s="12" t="s">
        <v>60</v>
      </c>
      <c r="G55" s="12" t="s">
        <v>193</v>
      </c>
      <c r="H55" s="13" t="s">
        <v>612</v>
      </c>
      <c r="I55" s="14" t="s">
        <v>196</v>
      </c>
      <c r="J55" s="32" t="s">
        <v>602</v>
      </c>
      <c r="K55" s="61" t="s">
        <v>613</v>
      </c>
    </row>
    <row r="56" spans="1:11" ht="54.75" customHeight="1">
      <c r="A56" s="12">
        <v>55</v>
      </c>
      <c r="B56" s="12" t="s">
        <v>183</v>
      </c>
      <c r="C56" s="12" t="s">
        <v>184</v>
      </c>
      <c r="D56" s="12" t="s">
        <v>185</v>
      </c>
      <c r="E56" s="12" t="s">
        <v>65</v>
      </c>
      <c r="F56" s="12" t="s">
        <v>66</v>
      </c>
      <c r="G56" s="12" t="s">
        <v>198</v>
      </c>
      <c r="H56" s="13" t="s">
        <v>614</v>
      </c>
      <c r="I56" s="21" t="s">
        <v>200</v>
      </c>
      <c r="J56" s="32" t="s">
        <v>602</v>
      </c>
      <c r="K56" s="12" t="s">
        <v>606</v>
      </c>
    </row>
    <row r="57" spans="1:11" ht="54.75" customHeight="1">
      <c r="A57" s="12">
        <v>56</v>
      </c>
      <c r="B57" s="12" t="s">
        <v>183</v>
      </c>
      <c r="C57" s="12" t="s">
        <v>184</v>
      </c>
      <c r="D57" s="12" t="s">
        <v>185</v>
      </c>
      <c r="E57" s="12" t="s">
        <v>65</v>
      </c>
      <c r="F57" s="12" t="s">
        <v>66</v>
      </c>
      <c r="G57" s="12" t="s">
        <v>201</v>
      </c>
      <c r="H57" s="13" t="s">
        <v>202</v>
      </c>
      <c r="I57" s="21" t="s">
        <v>189</v>
      </c>
      <c r="J57" s="32" t="s">
        <v>602</v>
      </c>
      <c r="K57" s="12" t="s">
        <v>610</v>
      </c>
    </row>
    <row r="58" spans="1:11" ht="27.75" customHeight="1">
      <c r="A58" s="12">
        <v>57</v>
      </c>
      <c r="B58" s="12" t="s">
        <v>203</v>
      </c>
      <c r="C58" s="12" t="s">
        <v>184</v>
      </c>
      <c r="D58" s="12" t="s">
        <v>204</v>
      </c>
      <c r="E58" s="12" t="s">
        <v>47</v>
      </c>
      <c r="F58" s="12" t="s">
        <v>48</v>
      </c>
      <c r="G58" s="12" t="s">
        <v>206</v>
      </c>
      <c r="H58" s="15" t="s">
        <v>604</v>
      </c>
      <c r="I58" s="22" t="s">
        <v>208</v>
      </c>
      <c r="J58" s="32" t="s">
        <v>602</v>
      </c>
      <c r="K58" s="12"/>
    </row>
    <row r="59" spans="1:11" ht="27.75" customHeight="1">
      <c r="A59" s="12">
        <v>58</v>
      </c>
      <c r="B59" s="12" t="s">
        <v>203</v>
      </c>
      <c r="C59" s="12" t="s">
        <v>184</v>
      </c>
      <c r="D59" s="12" t="s">
        <v>204</v>
      </c>
      <c r="E59" s="12" t="s">
        <v>47</v>
      </c>
      <c r="F59" s="12" t="s">
        <v>48</v>
      </c>
      <c r="G59" s="12" t="s">
        <v>209</v>
      </c>
      <c r="H59" s="15" t="s">
        <v>604</v>
      </c>
      <c r="I59" s="22" t="s">
        <v>208</v>
      </c>
      <c r="J59" s="32" t="s">
        <v>602</v>
      </c>
      <c r="K59" s="12"/>
    </row>
    <row r="60" spans="1:11" ht="54.75" customHeight="1">
      <c r="A60" s="12">
        <v>59</v>
      </c>
      <c r="B60" s="12" t="s">
        <v>203</v>
      </c>
      <c r="C60" s="12" t="s">
        <v>184</v>
      </c>
      <c r="D60" s="12" t="s">
        <v>204</v>
      </c>
      <c r="E60" s="12" t="s">
        <v>59</v>
      </c>
      <c r="F60" s="12" t="s">
        <v>60</v>
      </c>
      <c r="G60" s="12" t="s">
        <v>211</v>
      </c>
      <c r="H60" s="13" t="s">
        <v>212</v>
      </c>
      <c r="I60" s="22" t="s">
        <v>208</v>
      </c>
      <c r="J60" s="32" t="s">
        <v>602</v>
      </c>
      <c r="K60" s="12"/>
    </row>
    <row r="61" spans="1:11" ht="27.75" customHeight="1">
      <c r="A61" s="12">
        <v>60</v>
      </c>
      <c r="B61" s="12" t="s">
        <v>203</v>
      </c>
      <c r="C61" s="12" t="s">
        <v>184</v>
      </c>
      <c r="D61" s="12" t="s">
        <v>204</v>
      </c>
      <c r="E61" s="12" t="s">
        <v>59</v>
      </c>
      <c r="F61" s="12" t="s">
        <v>60</v>
      </c>
      <c r="G61" s="12" t="s">
        <v>213</v>
      </c>
      <c r="H61" s="15" t="s">
        <v>604</v>
      </c>
      <c r="I61" s="22" t="s">
        <v>208</v>
      </c>
      <c r="J61" s="32" t="s">
        <v>602</v>
      </c>
      <c r="K61" s="12"/>
    </row>
    <row r="62" spans="1:11" ht="41.25" customHeight="1">
      <c r="A62" s="12">
        <v>61</v>
      </c>
      <c r="B62" s="12" t="s">
        <v>203</v>
      </c>
      <c r="C62" s="12" t="s">
        <v>184</v>
      </c>
      <c r="D62" s="12" t="s">
        <v>204</v>
      </c>
      <c r="E62" s="12" t="s">
        <v>65</v>
      </c>
      <c r="F62" s="12" t="s">
        <v>66</v>
      </c>
      <c r="G62" s="12" t="s">
        <v>215</v>
      </c>
      <c r="H62" s="13" t="s">
        <v>615</v>
      </c>
      <c r="I62" s="22" t="s">
        <v>208</v>
      </c>
      <c r="J62" s="32" t="s">
        <v>602</v>
      </c>
      <c r="K62" s="12"/>
    </row>
    <row r="63" spans="1:11" ht="27.75" customHeight="1">
      <c r="A63" s="12">
        <v>62</v>
      </c>
      <c r="B63" s="12" t="s">
        <v>203</v>
      </c>
      <c r="C63" s="12" t="s">
        <v>184</v>
      </c>
      <c r="D63" s="12" t="s">
        <v>204</v>
      </c>
      <c r="E63" s="12" t="s">
        <v>65</v>
      </c>
      <c r="F63" s="12" t="s">
        <v>66</v>
      </c>
      <c r="G63" s="12" t="s">
        <v>217</v>
      </c>
      <c r="H63" s="15" t="s">
        <v>604</v>
      </c>
      <c r="I63" s="22" t="s">
        <v>208</v>
      </c>
      <c r="J63" s="32" t="s">
        <v>602</v>
      </c>
      <c r="K63" s="12"/>
    </row>
    <row r="64" spans="1:11" ht="27.75" customHeight="1">
      <c r="A64" s="12">
        <v>63</v>
      </c>
      <c r="B64" s="12" t="s">
        <v>218</v>
      </c>
      <c r="C64" s="12" t="s">
        <v>184</v>
      </c>
      <c r="D64" s="12" t="s">
        <v>219</v>
      </c>
      <c r="E64" s="12" t="s">
        <v>47</v>
      </c>
      <c r="F64" s="12" t="s">
        <v>48</v>
      </c>
      <c r="G64" s="12" t="s">
        <v>221</v>
      </c>
      <c r="H64" s="15" t="s">
        <v>604</v>
      </c>
      <c r="I64" s="22" t="s">
        <v>223</v>
      </c>
      <c r="J64" s="32" t="s">
        <v>602</v>
      </c>
      <c r="K64" s="12"/>
    </row>
    <row r="65" spans="1:11" ht="27.75" customHeight="1">
      <c r="A65" s="12">
        <v>64</v>
      </c>
      <c r="B65" s="12" t="s">
        <v>218</v>
      </c>
      <c r="C65" s="12" t="s">
        <v>184</v>
      </c>
      <c r="D65" s="12" t="s">
        <v>219</v>
      </c>
      <c r="E65" s="12" t="s">
        <v>47</v>
      </c>
      <c r="F65" s="12" t="s">
        <v>48</v>
      </c>
      <c r="G65" s="12" t="s">
        <v>224</v>
      </c>
      <c r="H65" s="15" t="s">
        <v>604</v>
      </c>
      <c r="I65" s="22" t="s">
        <v>223</v>
      </c>
      <c r="J65" s="32" t="s">
        <v>602</v>
      </c>
      <c r="K65" s="12"/>
    </row>
    <row r="66" spans="1:11" ht="27.75" customHeight="1">
      <c r="A66" s="12">
        <v>65</v>
      </c>
      <c r="B66" s="12" t="s">
        <v>218</v>
      </c>
      <c r="C66" s="12" t="s">
        <v>184</v>
      </c>
      <c r="D66" s="12" t="s">
        <v>219</v>
      </c>
      <c r="E66" s="12" t="s">
        <v>59</v>
      </c>
      <c r="F66" s="12" t="s">
        <v>60</v>
      </c>
      <c r="G66" s="12" t="s">
        <v>226</v>
      </c>
      <c r="H66" s="15" t="s">
        <v>604</v>
      </c>
      <c r="I66" s="22" t="s">
        <v>223</v>
      </c>
      <c r="J66" s="32" t="s">
        <v>602</v>
      </c>
      <c r="K66" s="12"/>
    </row>
    <row r="67" spans="1:11" ht="27.75" customHeight="1">
      <c r="A67" s="12">
        <v>66</v>
      </c>
      <c r="B67" s="12" t="s">
        <v>218</v>
      </c>
      <c r="C67" s="12" t="s">
        <v>184</v>
      </c>
      <c r="D67" s="12" t="s">
        <v>219</v>
      </c>
      <c r="E67" s="12" t="s">
        <v>59</v>
      </c>
      <c r="F67" s="12" t="s">
        <v>60</v>
      </c>
      <c r="G67" s="12" t="s">
        <v>227</v>
      </c>
      <c r="H67" s="15" t="s">
        <v>604</v>
      </c>
      <c r="I67" s="22" t="s">
        <v>223</v>
      </c>
      <c r="J67" s="32" t="s">
        <v>602</v>
      </c>
      <c r="K67" s="12"/>
    </row>
    <row r="68" spans="1:11" ht="27.75" customHeight="1">
      <c r="A68" s="12">
        <v>67</v>
      </c>
      <c r="B68" s="12" t="s">
        <v>218</v>
      </c>
      <c r="C68" s="12" t="s">
        <v>184</v>
      </c>
      <c r="D68" s="12" t="s">
        <v>219</v>
      </c>
      <c r="E68" s="12" t="s">
        <v>65</v>
      </c>
      <c r="F68" s="12" t="s">
        <v>66</v>
      </c>
      <c r="G68" s="12" t="s">
        <v>229</v>
      </c>
      <c r="H68" s="15" t="s">
        <v>604</v>
      </c>
      <c r="I68" s="22" t="s">
        <v>223</v>
      </c>
      <c r="J68" s="33" t="s">
        <v>616</v>
      </c>
      <c r="K68" s="12"/>
    </row>
    <row r="69" spans="1:11" ht="27.75" customHeight="1">
      <c r="A69" s="12">
        <v>68</v>
      </c>
      <c r="B69" s="12" t="s">
        <v>230</v>
      </c>
      <c r="C69" s="12" t="s">
        <v>184</v>
      </c>
      <c r="D69" s="12" t="s">
        <v>231</v>
      </c>
      <c r="E69" s="12" t="s">
        <v>47</v>
      </c>
      <c r="F69" s="12" t="s">
        <v>48</v>
      </c>
      <c r="G69" s="12" t="s">
        <v>233</v>
      </c>
      <c r="H69" s="15" t="s">
        <v>604</v>
      </c>
      <c r="I69" s="14" t="s">
        <v>235</v>
      </c>
      <c r="J69" s="33" t="s">
        <v>616</v>
      </c>
      <c r="K69" s="12"/>
    </row>
    <row r="70" spans="1:11" ht="27.75" customHeight="1">
      <c r="A70" s="12">
        <v>69</v>
      </c>
      <c r="B70" s="12" t="s">
        <v>230</v>
      </c>
      <c r="C70" s="12" t="s">
        <v>184</v>
      </c>
      <c r="D70" s="12" t="s">
        <v>231</v>
      </c>
      <c r="E70" s="12" t="s">
        <v>47</v>
      </c>
      <c r="F70" s="12" t="s">
        <v>48</v>
      </c>
      <c r="G70" s="12" t="s">
        <v>236</v>
      </c>
      <c r="H70" s="15" t="s">
        <v>604</v>
      </c>
      <c r="I70" s="14" t="s">
        <v>235</v>
      </c>
      <c r="J70" s="33" t="s">
        <v>616</v>
      </c>
      <c r="K70" s="12"/>
    </row>
    <row r="71" spans="1:11" ht="27.75" customHeight="1">
      <c r="A71" s="12">
        <v>70</v>
      </c>
      <c r="B71" s="12" t="s">
        <v>230</v>
      </c>
      <c r="C71" s="12" t="s">
        <v>184</v>
      </c>
      <c r="D71" s="12" t="s">
        <v>231</v>
      </c>
      <c r="E71" s="12" t="s">
        <v>59</v>
      </c>
      <c r="F71" s="12" t="s">
        <v>60</v>
      </c>
      <c r="G71" s="12" t="s">
        <v>238</v>
      </c>
      <c r="H71" s="15" t="s">
        <v>604</v>
      </c>
      <c r="I71" s="14" t="s">
        <v>235</v>
      </c>
      <c r="J71" s="33" t="s">
        <v>616</v>
      </c>
      <c r="K71" s="12"/>
    </row>
    <row r="72" spans="1:11" ht="41.25" customHeight="1">
      <c r="A72" s="12">
        <v>71</v>
      </c>
      <c r="B72" s="12" t="s">
        <v>230</v>
      </c>
      <c r="C72" s="12" t="s">
        <v>184</v>
      </c>
      <c r="D72" s="12" t="s">
        <v>231</v>
      </c>
      <c r="E72" s="12" t="s">
        <v>59</v>
      </c>
      <c r="F72" s="12" t="s">
        <v>60</v>
      </c>
      <c r="G72" s="12" t="s">
        <v>239</v>
      </c>
      <c r="H72" s="13" t="s">
        <v>240</v>
      </c>
      <c r="I72" s="14" t="s">
        <v>235</v>
      </c>
      <c r="J72" s="33" t="s">
        <v>616</v>
      </c>
      <c r="K72" s="12"/>
    </row>
    <row r="73" spans="1:11" ht="41.25" customHeight="1">
      <c r="A73" s="12">
        <v>72</v>
      </c>
      <c r="B73" s="12" t="s">
        <v>230</v>
      </c>
      <c r="C73" s="12" t="s">
        <v>184</v>
      </c>
      <c r="D73" s="12" t="s">
        <v>231</v>
      </c>
      <c r="E73" s="12" t="s">
        <v>65</v>
      </c>
      <c r="F73" s="12" t="s">
        <v>66</v>
      </c>
      <c r="G73" s="12" t="s">
        <v>242</v>
      </c>
      <c r="H73" s="13" t="s">
        <v>617</v>
      </c>
      <c r="I73" s="14" t="s">
        <v>235</v>
      </c>
      <c r="J73" s="33" t="s">
        <v>616</v>
      </c>
      <c r="K73" s="12"/>
    </row>
    <row r="74" spans="1:11" ht="27.75" customHeight="1">
      <c r="A74" s="12">
        <v>73</v>
      </c>
      <c r="B74" s="12" t="s">
        <v>245</v>
      </c>
      <c r="C74" s="12" t="s">
        <v>184</v>
      </c>
      <c r="D74" s="12" t="s">
        <v>246</v>
      </c>
      <c r="E74" s="12" t="s">
        <v>47</v>
      </c>
      <c r="F74" s="12" t="s">
        <v>48</v>
      </c>
      <c r="G74" s="12" t="s">
        <v>248</v>
      </c>
      <c r="H74" s="15" t="s">
        <v>604</v>
      </c>
      <c r="I74" s="21" t="s">
        <v>250</v>
      </c>
      <c r="J74" s="32" t="s">
        <v>602</v>
      </c>
      <c r="K74" s="12" t="s">
        <v>618</v>
      </c>
    </row>
    <row r="75" spans="1:11" ht="41.25" customHeight="1">
      <c r="A75" s="12">
        <v>74</v>
      </c>
      <c r="B75" s="12" t="s">
        <v>245</v>
      </c>
      <c r="C75" s="12" t="s">
        <v>184</v>
      </c>
      <c r="D75" s="12" t="s">
        <v>246</v>
      </c>
      <c r="E75" s="12" t="s">
        <v>47</v>
      </c>
      <c r="F75" s="12" t="s">
        <v>48</v>
      </c>
      <c r="G75" s="12" t="s">
        <v>251</v>
      </c>
      <c r="H75" s="15" t="s">
        <v>604</v>
      </c>
      <c r="I75" s="21" t="s">
        <v>250</v>
      </c>
      <c r="J75" s="32" t="s">
        <v>602</v>
      </c>
      <c r="K75" s="12" t="s">
        <v>618</v>
      </c>
    </row>
    <row r="76" spans="1:11" ht="27.75" customHeight="1">
      <c r="A76" s="12">
        <v>75</v>
      </c>
      <c r="B76" s="12" t="s">
        <v>245</v>
      </c>
      <c r="C76" s="12" t="s">
        <v>184</v>
      </c>
      <c r="D76" s="12" t="s">
        <v>246</v>
      </c>
      <c r="E76" s="12" t="s">
        <v>59</v>
      </c>
      <c r="F76" s="12" t="s">
        <v>60</v>
      </c>
      <c r="G76" s="12" t="s">
        <v>254</v>
      </c>
      <c r="H76" s="15" t="s">
        <v>604</v>
      </c>
      <c r="I76" s="21" t="s">
        <v>250</v>
      </c>
      <c r="J76" s="32" t="s">
        <v>602</v>
      </c>
      <c r="K76" s="12" t="s">
        <v>618</v>
      </c>
    </row>
    <row r="77" spans="1:11" ht="27.75" customHeight="1">
      <c r="A77" s="12">
        <v>76</v>
      </c>
      <c r="B77" s="12" t="s">
        <v>245</v>
      </c>
      <c r="C77" s="12" t="s">
        <v>184</v>
      </c>
      <c r="D77" s="12" t="s">
        <v>246</v>
      </c>
      <c r="E77" s="12" t="s">
        <v>59</v>
      </c>
      <c r="F77" s="12" t="s">
        <v>60</v>
      </c>
      <c r="G77" s="12" t="s">
        <v>255</v>
      </c>
      <c r="H77" s="15" t="s">
        <v>604</v>
      </c>
      <c r="I77" s="21" t="s">
        <v>250</v>
      </c>
      <c r="J77" s="32" t="s">
        <v>602</v>
      </c>
      <c r="K77" s="12" t="s">
        <v>618</v>
      </c>
    </row>
    <row r="78" spans="1:11" ht="27.75" customHeight="1">
      <c r="A78" s="12">
        <v>77</v>
      </c>
      <c r="B78" s="12" t="s">
        <v>245</v>
      </c>
      <c r="C78" s="12" t="s">
        <v>184</v>
      </c>
      <c r="D78" s="12" t="s">
        <v>246</v>
      </c>
      <c r="E78" s="12" t="s">
        <v>65</v>
      </c>
      <c r="F78" s="12" t="s">
        <v>66</v>
      </c>
      <c r="G78" s="12" t="s">
        <v>257</v>
      </c>
      <c r="H78" s="15" t="s">
        <v>604</v>
      </c>
      <c r="I78" s="21" t="s">
        <v>250</v>
      </c>
      <c r="J78" s="32" t="s">
        <v>602</v>
      </c>
      <c r="K78" s="12" t="s">
        <v>618</v>
      </c>
    </row>
    <row r="79" spans="1:11" ht="27.75" customHeight="1">
      <c r="A79" s="12">
        <v>78</v>
      </c>
      <c r="B79" s="12" t="s">
        <v>245</v>
      </c>
      <c r="C79" s="12" t="s">
        <v>184</v>
      </c>
      <c r="D79" s="12" t="s">
        <v>246</v>
      </c>
      <c r="E79" s="12" t="s">
        <v>65</v>
      </c>
      <c r="F79" s="12" t="s">
        <v>66</v>
      </c>
      <c r="G79" s="12" t="s">
        <v>258</v>
      </c>
      <c r="H79" s="15" t="s">
        <v>604</v>
      </c>
      <c r="I79" s="21" t="s">
        <v>250</v>
      </c>
      <c r="J79" s="32" t="s">
        <v>602</v>
      </c>
      <c r="K79" s="12" t="s">
        <v>618</v>
      </c>
    </row>
    <row r="80" spans="1:11" ht="41.25" customHeight="1">
      <c r="A80" s="12">
        <v>79</v>
      </c>
      <c r="B80" s="12" t="s">
        <v>259</v>
      </c>
      <c r="C80" s="12" t="s">
        <v>260</v>
      </c>
      <c r="D80" s="12" t="s">
        <v>261</v>
      </c>
      <c r="E80" s="12" t="s">
        <v>51</v>
      </c>
      <c r="F80" s="12" t="s">
        <v>263</v>
      </c>
      <c r="G80" s="12" t="s">
        <v>264</v>
      </c>
      <c r="H80" s="15" t="s">
        <v>604</v>
      </c>
      <c r="I80" s="21" t="s">
        <v>268</v>
      </c>
      <c r="J80" s="34" t="s">
        <v>619</v>
      </c>
      <c r="K80" s="12" t="s">
        <v>620</v>
      </c>
    </row>
    <row r="81" spans="1:11" ht="27.75" customHeight="1">
      <c r="A81" s="12">
        <v>80</v>
      </c>
      <c r="B81" s="12" t="s">
        <v>259</v>
      </c>
      <c r="C81" s="12" t="s">
        <v>260</v>
      </c>
      <c r="D81" s="12" t="s">
        <v>261</v>
      </c>
      <c r="E81" s="12" t="s">
        <v>47</v>
      </c>
      <c r="F81" s="12" t="s">
        <v>48</v>
      </c>
      <c r="G81" s="12" t="s">
        <v>270</v>
      </c>
      <c r="H81" s="13" t="s">
        <v>621</v>
      </c>
      <c r="I81" s="22" t="s">
        <v>273</v>
      </c>
      <c r="J81" s="34" t="s">
        <v>619</v>
      </c>
      <c r="K81" s="12" t="s">
        <v>620</v>
      </c>
    </row>
    <row r="82" spans="1:11" ht="27.75" customHeight="1">
      <c r="A82" s="12">
        <v>81</v>
      </c>
      <c r="B82" s="12" t="s">
        <v>259</v>
      </c>
      <c r="C82" s="12" t="s">
        <v>260</v>
      </c>
      <c r="D82" s="12" t="s">
        <v>261</v>
      </c>
      <c r="E82" s="12" t="s">
        <v>47</v>
      </c>
      <c r="F82" s="12" t="s">
        <v>48</v>
      </c>
      <c r="G82" s="12" t="s">
        <v>274</v>
      </c>
      <c r="H82" s="15" t="s">
        <v>604</v>
      </c>
      <c r="I82" s="22" t="s">
        <v>273</v>
      </c>
      <c r="J82" s="34" t="s">
        <v>619</v>
      </c>
      <c r="K82" s="12" t="s">
        <v>620</v>
      </c>
    </row>
    <row r="83" spans="1:11" ht="27.75" customHeight="1">
      <c r="A83" s="12">
        <v>82</v>
      </c>
      <c r="B83" s="12" t="s">
        <v>259</v>
      </c>
      <c r="C83" s="12" t="s">
        <v>260</v>
      </c>
      <c r="D83" s="12" t="s">
        <v>261</v>
      </c>
      <c r="E83" s="12" t="s">
        <v>59</v>
      </c>
      <c r="F83" s="12" t="s">
        <v>60</v>
      </c>
      <c r="G83" s="12" t="s">
        <v>276</v>
      </c>
      <c r="H83" s="15" t="s">
        <v>604</v>
      </c>
      <c r="I83" s="22" t="s">
        <v>273</v>
      </c>
      <c r="J83" s="34" t="s">
        <v>619</v>
      </c>
      <c r="K83" s="12" t="s">
        <v>620</v>
      </c>
    </row>
    <row r="84" spans="1:11" ht="27.75" customHeight="1">
      <c r="A84" s="12">
        <v>83</v>
      </c>
      <c r="B84" s="12" t="s">
        <v>259</v>
      </c>
      <c r="C84" s="12" t="s">
        <v>260</v>
      </c>
      <c r="D84" s="12" t="s">
        <v>261</v>
      </c>
      <c r="E84" s="12" t="s">
        <v>59</v>
      </c>
      <c r="F84" s="12" t="s">
        <v>60</v>
      </c>
      <c r="G84" s="12" t="s">
        <v>277</v>
      </c>
      <c r="H84" s="15" t="s">
        <v>604</v>
      </c>
      <c r="I84" s="22" t="s">
        <v>273</v>
      </c>
      <c r="J84" s="34" t="s">
        <v>619</v>
      </c>
      <c r="K84" s="12" t="s">
        <v>620</v>
      </c>
    </row>
    <row r="85" spans="1:11" ht="27.75" customHeight="1">
      <c r="A85" s="12">
        <v>84</v>
      </c>
      <c r="B85" s="12" t="s">
        <v>259</v>
      </c>
      <c r="C85" s="12" t="s">
        <v>260</v>
      </c>
      <c r="D85" s="12" t="s">
        <v>261</v>
      </c>
      <c r="E85" s="12" t="s">
        <v>65</v>
      </c>
      <c r="F85" s="12" t="s">
        <v>66</v>
      </c>
      <c r="G85" s="12" t="s">
        <v>279</v>
      </c>
      <c r="H85" s="15" t="s">
        <v>604</v>
      </c>
      <c r="I85" s="22" t="s">
        <v>273</v>
      </c>
      <c r="J85" s="34" t="s">
        <v>619</v>
      </c>
      <c r="K85" s="12" t="s">
        <v>620</v>
      </c>
    </row>
    <row r="86" spans="1:11" ht="27.75" customHeight="1">
      <c r="A86" s="12">
        <v>85</v>
      </c>
      <c r="B86" s="12" t="s">
        <v>280</v>
      </c>
      <c r="C86" s="12" t="s">
        <v>260</v>
      </c>
      <c r="D86" s="12" t="s">
        <v>281</v>
      </c>
      <c r="E86" s="12" t="s">
        <v>47</v>
      </c>
      <c r="F86" s="12" t="s">
        <v>48</v>
      </c>
      <c r="G86" s="12" t="s">
        <v>283</v>
      </c>
      <c r="H86" s="15" t="s">
        <v>604</v>
      </c>
      <c r="I86" s="14" t="s">
        <v>285</v>
      </c>
      <c r="J86" s="33" t="s">
        <v>616</v>
      </c>
      <c r="K86" s="12"/>
    </row>
    <row r="87" spans="1:11" ht="27.75" customHeight="1">
      <c r="A87" s="12">
        <v>86</v>
      </c>
      <c r="B87" s="12" t="s">
        <v>280</v>
      </c>
      <c r="C87" s="12" t="s">
        <v>260</v>
      </c>
      <c r="D87" s="12" t="s">
        <v>281</v>
      </c>
      <c r="E87" s="12" t="s">
        <v>47</v>
      </c>
      <c r="F87" s="12" t="s">
        <v>48</v>
      </c>
      <c r="G87" s="12" t="s">
        <v>286</v>
      </c>
      <c r="H87" s="15" t="s">
        <v>604</v>
      </c>
      <c r="I87" s="14" t="s">
        <v>285</v>
      </c>
      <c r="J87" s="33" t="s">
        <v>616</v>
      </c>
      <c r="K87" s="12"/>
    </row>
    <row r="88" spans="1:11" ht="27.75" customHeight="1">
      <c r="A88" s="12">
        <v>87</v>
      </c>
      <c r="B88" s="12" t="s">
        <v>280</v>
      </c>
      <c r="C88" s="12" t="s">
        <v>260</v>
      </c>
      <c r="D88" s="12" t="s">
        <v>281</v>
      </c>
      <c r="E88" s="12" t="s">
        <v>59</v>
      </c>
      <c r="F88" s="12" t="s">
        <v>60</v>
      </c>
      <c r="G88" s="12" t="s">
        <v>288</v>
      </c>
      <c r="H88" s="15" t="s">
        <v>604</v>
      </c>
      <c r="I88" s="14" t="s">
        <v>285</v>
      </c>
      <c r="J88" s="33" t="s">
        <v>616</v>
      </c>
      <c r="K88" s="12"/>
    </row>
    <row r="89" spans="1:11" ht="27.75" customHeight="1">
      <c r="A89" s="12">
        <v>88</v>
      </c>
      <c r="B89" s="12" t="s">
        <v>280</v>
      </c>
      <c r="C89" s="12" t="s">
        <v>260</v>
      </c>
      <c r="D89" s="12" t="s">
        <v>281</v>
      </c>
      <c r="E89" s="12" t="s">
        <v>59</v>
      </c>
      <c r="F89" s="12" t="s">
        <v>60</v>
      </c>
      <c r="G89" s="12" t="s">
        <v>289</v>
      </c>
      <c r="H89" s="15" t="s">
        <v>604</v>
      </c>
      <c r="I89" s="14" t="s">
        <v>285</v>
      </c>
      <c r="J89" s="33" t="s">
        <v>616</v>
      </c>
      <c r="K89" s="12"/>
    </row>
    <row r="90" spans="1:11" ht="41.25" customHeight="1">
      <c r="A90" s="12">
        <v>89</v>
      </c>
      <c r="B90" s="12" t="s">
        <v>280</v>
      </c>
      <c r="C90" s="12" t="s">
        <v>260</v>
      </c>
      <c r="D90" s="12" t="s">
        <v>281</v>
      </c>
      <c r="E90" s="12" t="s">
        <v>65</v>
      </c>
      <c r="F90" s="12" t="s">
        <v>66</v>
      </c>
      <c r="G90" s="12" t="s">
        <v>291</v>
      </c>
      <c r="H90" s="13" t="s">
        <v>622</v>
      </c>
      <c r="I90" s="14" t="s">
        <v>285</v>
      </c>
      <c r="J90" s="33" t="s">
        <v>616</v>
      </c>
      <c r="K90" s="12"/>
    </row>
    <row r="91" spans="1:11" ht="41.25" customHeight="1">
      <c r="A91" s="12">
        <v>90</v>
      </c>
      <c r="B91" s="12" t="s">
        <v>293</v>
      </c>
      <c r="C91" s="12" t="s">
        <v>260</v>
      </c>
      <c r="D91" s="12" t="s">
        <v>294</v>
      </c>
      <c r="E91" s="12" t="s">
        <v>47</v>
      </c>
      <c r="F91" s="12" t="s">
        <v>48</v>
      </c>
      <c r="G91" s="12" t="s">
        <v>296</v>
      </c>
      <c r="H91" s="13" t="s">
        <v>623</v>
      </c>
      <c r="I91" s="20" t="s">
        <v>299</v>
      </c>
      <c r="J91" s="33" t="s">
        <v>616</v>
      </c>
      <c r="K91" s="12"/>
    </row>
    <row r="92" spans="1:11" ht="27.75" customHeight="1">
      <c r="A92" s="12">
        <v>91</v>
      </c>
      <c r="B92" s="12" t="s">
        <v>293</v>
      </c>
      <c r="C92" s="12" t="s">
        <v>260</v>
      </c>
      <c r="D92" s="12" t="s">
        <v>294</v>
      </c>
      <c r="E92" s="12" t="s">
        <v>47</v>
      </c>
      <c r="F92" s="12" t="s">
        <v>48</v>
      </c>
      <c r="G92" s="12" t="s">
        <v>300</v>
      </c>
      <c r="H92" s="15" t="s">
        <v>604</v>
      </c>
      <c r="I92" s="20" t="s">
        <v>299</v>
      </c>
      <c r="J92" s="33" t="s">
        <v>616</v>
      </c>
      <c r="K92" s="12"/>
    </row>
    <row r="93" spans="1:11" ht="27.75" customHeight="1">
      <c r="A93" s="12">
        <v>92</v>
      </c>
      <c r="B93" s="12" t="s">
        <v>293</v>
      </c>
      <c r="C93" s="12" t="s">
        <v>260</v>
      </c>
      <c r="D93" s="12" t="s">
        <v>294</v>
      </c>
      <c r="E93" s="12" t="s">
        <v>59</v>
      </c>
      <c r="F93" s="12" t="s">
        <v>60</v>
      </c>
      <c r="G93" s="12" t="s">
        <v>302</v>
      </c>
      <c r="H93" s="15" t="s">
        <v>604</v>
      </c>
      <c r="I93" s="20" t="s">
        <v>299</v>
      </c>
      <c r="J93" s="33" t="s">
        <v>616</v>
      </c>
      <c r="K93" s="12"/>
    </row>
    <row r="94" spans="1:11" ht="27.75" customHeight="1">
      <c r="A94" s="12">
        <v>93</v>
      </c>
      <c r="B94" s="12" t="s">
        <v>293</v>
      </c>
      <c r="C94" s="12" t="s">
        <v>260</v>
      </c>
      <c r="D94" s="12" t="s">
        <v>294</v>
      </c>
      <c r="E94" s="12" t="s">
        <v>65</v>
      </c>
      <c r="F94" s="12" t="s">
        <v>66</v>
      </c>
      <c r="G94" s="12" t="s">
        <v>304</v>
      </c>
      <c r="H94" s="15" t="s">
        <v>604</v>
      </c>
      <c r="I94" s="20" t="s">
        <v>299</v>
      </c>
      <c r="J94" s="33" t="s">
        <v>616</v>
      </c>
      <c r="K94" s="12"/>
    </row>
    <row r="95" spans="1:11" ht="41.25" customHeight="1">
      <c r="A95" s="12">
        <v>94</v>
      </c>
      <c r="B95" s="12" t="s">
        <v>305</v>
      </c>
      <c r="C95" s="12" t="s">
        <v>260</v>
      </c>
      <c r="D95" s="12" t="s">
        <v>306</v>
      </c>
      <c r="E95" s="12" t="s">
        <v>47</v>
      </c>
      <c r="F95" s="12" t="s">
        <v>48</v>
      </c>
      <c r="G95" s="12" t="s">
        <v>308</v>
      </c>
      <c r="H95" s="13" t="s">
        <v>624</v>
      </c>
      <c r="I95" s="22" t="s">
        <v>311</v>
      </c>
      <c r="J95" s="34" t="s">
        <v>619</v>
      </c>
      <c r="K95" s="12" t="s">
        <v>625</v>
      </c>
    </row>
    <row r="96" spans="1:11" ht="27.75" customHeight="1">
      <c r="A96" s="12">
        <v>95</v>
      </c>
      <c r="B96" s="12" t="s">
        <v>305</v>
      </c>
      <c r="C96" s="12" t="s">
        <v>260</v>
      </c>
      <c r="D96" s="12" t="s">
        <v>306</v>
      </c>
      <c r="E96" s="12" t="s">
        <v>47</v>
      </c>
      <c r="F96" s="12" t="s">
        <v>48</v>
      </c>
      <c r="G96" s="12" t="s">
        <v>312</v>
      </c>
      <c r="H96" s="15" t="s">
        <v>604</v>
      </c>
      <c r="I96" s="22" t="s">
        <v>311</v>
      </c>
      <c r="J96" s="34" t="s">
        <v>619</v>
      </c>
      <c r="K96" s="12" t="s">
        <v>625</v>
      </c>
    </row>
    <row r="97" spans="1:11" ht="27.75" customHeight="1">
      <c r="A97" s="12">
        <v>96</v>
      </c>
      <c r="B97" s="12" t="s">
        <v>305</v>
      </c>
      <c r="C97" s="12" t="s">
        <v>260</v>
      </c>
      <c r="D97" s="12" t="s">
        <v>306</v>
      </c>
      <c r="E97" s="12" t="s">
        <v>59</v>
      </c>
      <c r="F97" s="12" t="s">
        <v>60</v>
      </c>
      <c r="G97" s="12" t="s">
        <v>314</v>
      </c>
      <c r="H97" s="15" t="s">
        <v>604</v>
      </c>
      <c r="I97" s="22" t="s">
        <v>311</v>
      </c>
      <c r="J97" s="34" t="s">
        <v>619</v>
      </c>
      <c r="K97" s="12" t="s">
        <v>625</v>
      </c>
    </row>
    <row r="98" spans="1:11" ht="27.75" customHeight="1">
      <c r="A98" s="12">
        <v>97</v>
      </c>
      <c r="B98" s="12" t="s">
        <v>305</v>
      </c>
      <c r="C98" s="12" t="s">
        <v>260</v>
      </c>
      <c r="D98" s="12" t="s">
        <v>306</v>
      </c>
      <c r="E98" s="12" t="s">
        <v>59</v>
      </c>
      <c r="F98" s="12" t="s">
        <v>60</v>
      </c>
      <c r="G98" s="12" t="s">
        <v>315</v>
      </c>
      <c r="H98" s="15" t="s">
        <v>604</v>
      </c>
      <c r="I98" s="22" t="s">
        <v>311</v>
      </c>
      <c r="J98" s="34" t="s">
        <v>619</v>
      </c>
      <c r="K98" s="12" t="s">
        <v>625</v>
      </c>
    </row>
    <row r="99" spans="1:11" ht="27.75" customHeight="1">
      <c r="A99" s="12">
        <v>98</v>
      </c>
      <c r="B99" s="12" t="s">
        <v>305</v>
      </c>
      <c r="C99" s="12" t="s">
        <v>260</v>
      </c>
      <c r="D99" s="12" t="s">
        <v>306</v>
      </c>
      <c r="E99" s="12" t="s">
        <v>65</v>
      </c>
      <c r="F99" s="12" t="s">
        <v>66</v>
      </c>
      <c r="G99" s="12" t="s">
        <v>317</v>
      </c>
      <c r="H99" s="13" t="s">
        <v>626</v>
      </c>
      <c r="I99" s="14" t="s">
        <v>235</v>
      </c>
      <c r="J99" s="33" t="s">
        <v>616</v>
      </c>
      <c r="K99" s="12"/>
    </row>
    <row r="100" spans="1:11" ht="27.75" customHeight="1">
      <c r="A100" s="12">
        <v>99</v>
      </c>
      <c r="B100" s="12" t="s">
        <v>305</v>
      </c>
      <c r="C100" s="12" t="s">
        <v>260</v>
      </c>
      <c r="D100" s="12" t="s">
        <v>306</v>
      </c>
      <c r="E100" s="12" t="s">
        <v>65</v>
      </c>
      <c r="F100" s="12" t="s">
        <v>66</v>
      </c>
      <c r="G100" s="12" t="s">
        <v>319</v>
      </c>
      <c r="H100" s="15" t="s">
        <v>604</v>
      </c>
      <c r="I100" s="22" t="s">
        <v>311</v>
      </c>
      <c r="J100" s="34" t="s">
        <v>619</v>
      </c>
      <c r="K100" s="12" t="s">
        <v>625</v>
      </c>
    </row>
    <row r="101" spans="1:11" ht="41.25" customHeight="1">
      <c r="A101" s="12">
        <v>100</v>
      </c>
      <c r="B101" s="12" t="s">
        <v>320</v>
      </c>
      <c r="C101" s="12" t="s">
        <v>260</v>
      </c>
      <c r="D101" s="12" t="s">
        <v>321</v>
      </c>
      <c r="E101" s="12" t="s">
        <v>47</v>
      </c>
      <c r="F101" s="12" t="s">
        <v>48</v>
      </c>
      <c r="G101" s="12" t="s">
        <v>323</v>
      </c>
      <c r="H101" s="13" t="s">
        <v>627</v>
      </c>
      <c r="I101" s="22" t="s">
        <v>326</v>
      </c>
      <c r="J101" s="34" t="s">
        <v>619</v>
      </c>
      <c r="K101" s="12" t="s">
        <v>628</v>
      </c>
    </row>
    <row r="102" spans="1:11" ht="27.75" customHeight="1">
      <c r="A102" s="12">
        <v>101</v>
      </c>
      <c r="B102" s="12" t="s">
        <v>320</v>
      </c>
      <c r="C102" s="12" t="s">
        <v>260</v>
      </c>
      <c r="D102" s="12" t="s">
        <v>321</v>
      </c>
      <c r="E102" s="12" t="s">
        <v>47</v>
      </c>
      <c r="F102" s="12" t="s">
        <v>48</v>
      </c>
      <c r="G102" s="12" t="s">
        <v>327</v>
      </c>
      <c r="H102" s="15" t="s">
        <v>604</v>
      </c>
      <c r="I102" s="22" t="s">
        <v>326</v>
      </c>
      <c r="J102" s="34" t="s">
        <v>619</v>
      </c>
      <c r="K102" s="12" t="s">
        <v>628</v>
      </c>
    </row>
    <row r="103" spans="1:11" ht="41.25" customHeight="1">
      <c r="A103" s="12">
        <v>102</v>
      </c>
      <c r="B103" s="12" t="s">
        <v>320</v>
      </c>
      <c r="C103" s="12" t="s">
        <v>260</v>
      </c>
      <c r="D103" s="12" t="s">
        <v>321</v>
      </c>
      <c r="E103" s="12" t="s">
        <v>59</v>
      </c>
      <c r="F103" s="12" t="s">
        <v>60</v>
      </c>
      <c r="G103" s="12" t="s">
        <v>329</v>
      </c>
      <c r="H103" s="13" t="s">
        <v>629</v>
      </c>
      <c r="I103" s="22" t="s">
        <v>326</v>
      </c>
      <c r="J103" s="34" t="s">
        <v>619</v>
      </c>
      <c r="K103" s="12" t="s">
        <v>628</v>
      </c>
    </row>
    <row r="104" spans="1:11" ht="27.75" customHeight="1">
      <c r="A104" s="12">
        <v>103</v>
      </c>
      <c r="B104" s="12" t="s">
        <v>320</v>
      </c>
      <c r="C104" s="12" t="s">
        <v>260</v>
      </c>
      <c r="D104" s="12" t="s">
        <v>321</v>
      </c>
      <c r="E104" s="12" t="s">
        <v>59</v>
      </c>
      <c r="F104" s="12" t="s">
        <v>60</v>
      </c>
      <c r="G104" s="12" t="s">
        <v>331</v>
      </c>
      <c r="H104" s="15" t="s">
        <v>604</v>
      </c>
      <c r="I104" s="22" t="s">
        <v>326</v>
      </c>
      <c r="J104" s="34" t="s">
        <v>619</v>
      </c>
      <c r="K104" s="12" t="s">
        <v>628</v>
      </c>
    </row>
    <row r="105" spans="1:11" ht="41.25" customHeight="1">
      <c r="A105" s="12">
        <v>104</v>
      </c>
      <c r="B105" s="12" t="s">
        <v>320</v>
      </c>
      <c r="C105" s="12" t="s">
        <v>260</v>
      </c>
      <c r="D105" s="12" t="s">
        <v>321</v>
      </c>
      <c r="E105" s="12" t="s">
        <v>65</v>
      </c>
      <c r="F105" s="12" t="s">
        <v>66</v>
      </c>
      <c r="G105" s="12" t="s">
        <v>333</v>
      </c>
      <c r="H105" s="13" t="s">
        <v>630</v>
      </c>
      <c r="I105" s="22" t="s">
        <v>326</v>
      </c>
      <c r="J105" s="34" t="s">
        <v>619</v>
      </c>
      <c r="K105" s="12" t="s">
        <v>628</v>
      </c>
    </row>
    <row r="106" spans="1:11" ht="27.75" customHeight="1">
      <c r="A106" s="12">
        <v>105</v>
      </c>
      <c r="B106" s="12" t="s">
        <v>335</v>
      </c>
      <c r="C106" s="12" t="s">
        <v>336</v>
      </c>
      <c r="D106" s="12" t="s">
        <v>337</v>
      </c>
      <c r="E106" s="12" t="s">
        <v>47</v>
      </c>
      <c r="F106" s="12" t="s">
        <v>48</v>
      </c>
      <c r="G106" s="12" t="s">
        <v>339</v>
      </c>
      <c r="H106" s="15" t="s">
        <v>604</v>
      </c>
      <c r="I106" s="14" t="s">
        <v>196</v>
      </c>
      <c r="J106" s="32" t="s">
        <v>602</v>
      </c>
      <c r="K106" s="12" t="s">
        <v>631</v>
      </c>
    </row>
    <row r="107" spans="1:11" ht="27.75" customHeight="1">
      <c r="A107" s="12">
        <v>106</v>
      </c>
      <c r="B107" s="12" t="s">
        <v>335</v>
      </c>
      <c r="C107" s="12" t="s">
        <v>336</v>
      </c>
      <c r="D107" s="12" t="s">
        <v>337</v>
      </c>
      <c r="E107" s="12" t="s">
        <v>47</v>
      </c>
      <c r="F107" s="12" t="s">
        <v>48</v>
      </c>
      <c r="G107" s="12" t="s">
        <v>342</v>
      </c>
      <c r="H107" s="15" t="s">
        <v>604</v>
      </c>
      <c r="I107" s="14" t="s">
        <v>196</v>
      </c>
      <c r="J107" s="32" t="s">
        <v>602</v>
      </c>
      <c r="K107" s="12" t="s">
        <v>631</v>
      </c>
    </row>
    <row r="108" spans="1:11" ht="27.75" customHeight="1">
      <c r="A108" s="12">
        <v>107</v>
      </c>
      <c r="B108" s="12" t="s">
        <v>335</v>
      </c>
      <c r="C108" s="12" t="s">
        <v>336</v>
      </c>
      <c r="D108" s="12" t="s">
        <v>337</v>
      </c>
      <c r="E108" s="12" t="s">
        <v>59</v>
      </c>
      <c r="F108" s="12" t="s">
        <v>60</v>
      </c>
      <c r="G108" s="12" t="s">
        <v>344</v>
      </c>
      <c r="H108" s="15" t="s">
        <v>604</v>
      </c>
      <c r="I108" s="14" t="s">
        <v>196</v>
      </c>
      <c r="J108" s="32" t="s">
        <v>602</v>
      </c>
      <c r="K108" s="12" t="s">
        <v>631</v>
      </c>
    </row>
    <row r="109" spans="1:11" ht="27.75" customHeight="1">
      <c r="A109" s="12">
        <v>108</v>
      </c>
      <c r="B109" s="12" t="s">
        <v>335</v>
      </c>
      <c r="C109" s="12" t="s">
        <v>336</v>
      </c>
      <c r="D109" s="12" t="s">
        <v>337</v>
      </c>
      <c r="E109" s="12" t="s">
        <v>59</v>
      </c>
      <c r="F109" s="12" t="s">
        <v>60</v>
      </c>
      <c r="G109" s="12" t="s">
        <v>345</v>
      </c>
      <c r="H109" s="15" t="s">
        <v>604</v>
      </c>
      <c r="I109" s="14" t="s">
        <v>196</v>
      </c>
      <c r="J109" s="32" t="s">
        <v>602</v>
      </c>
      <c r="K109" s="12" t="s">
        <v>631</v>
      </c>
    </row>
    <row r="110" spans="1:11" ht="41.25" customHeight="1">
      <c r="A110" s="12">
        <v>109</v>
      </c>
      <c r="B110" s="12" t="s">
        <v>335</v>
      </c>
      <c r="C110" s="12" t="s">
        <v>336</v>
      </c>
      <c r="D110" s="12" t="s">
        <v>337</v>
      </c>
      <c r="E110" s="12" t="s">
        <v>65</v>
      </c>
      <c r="F110" s="12" t="s">
        <v>66</v>
      </c>
      <c r="G110" s="12" t="s">
        <v>347</v>
      </c>
      <c r="H110" s="13" t="s">
        <v>348</v>
      </c>
      <c r="I110" s="14" t="s">
        <v>196</v>
      </c>
      <c r="J110" s="32" t="s">
        <v>602</v>
      </c>
      <c r="K110" s="12" t="s">
        <v>631</v>
      </c>
    </row>
    <row r="111" spans="1:11" ht="27.75" customHeight="1">
      <c r="A111" s="12">
        <v>110</v>
      </c>
      <c r="B111" s="12" t="s">
        <v>335</v>
      </c>
      <c r="C111" s="12" t="s">
        <v>336</v>
      </c>
      <c r="D111" s="12" t="s">
        <v>337</v>
      </c>
      <c r="E111" s="12" t="s">
        <v>65</v>
      </c>
      <c r="F111" s="12" t="s">
        <v>66</v>
      </c>
      <c r="G111" s="12" t="s">
        <v>349</v>
      </c>
      <c r="H111" s="15" t="s">
        <v>604</v>
      </c>
      <c r="I111" s="14" t="s">
        <v>196</v>
      </c>
      <c r="J111" s="32" t="s">
        <v>602</v>
      </c>
      <c r="K111" s="12" t="s">
        <v>631</v>
      </c>
    </row>
    <row r="112" spans="1:11" ht="27.75" customHeight="1">
      <c r="A112" s="12">
        <v>111</v>
      </c>
      <c r="B112" s="12" t="s">
        <v>350</v>
      </c>
      <c r="C112" s="12" t="s">
        <v>336</v>
      </c>
      <c r="D112" s="12" t="s">
        <v>351</v>
      </c>
      <c r="E112" s="12" t="s">
        <v>47</v>
      </c>
      <c r="F112" s="12" t="s">
        <v>48</v>
      </c>
      <c r="G112" s="12" t="s">
        <v>353</v>
      </c>
      <c r="H112" s="15" t="s">
        <v>604</v>
      </c>
      <c r="I112" s="14" t="s">
        <v>355</v>
      </c>
      <c r="J112" s="34" t="s">
        <v>619</v>
      </c>
      <c r="K112" s="12" t="s">
        <v>632</v>
      </c>
    </row>
    <row r="113" spans="1:11" ht="27.75" customHeight="1">
      <c r="A113" s="12">
        <v>112</v>
      </c>
      <c r="B113" s="12" t="s">
        <v>350</v>
      </c>
      <c r="C113" s="12" t="s">
        <v>336</v>
      </c>
      <c r="D113" s="12" t="s">
        <v>351</v>
      </c>
      <c r="E113" s="12" t="s">
        <v>47</v>
      </c>
      <c r="F113" s="12" t="s">
        <v>48</v>
      </c>
      <c r="G113" s="12" t="s">
        <v>356</v>
      </c>
      <c r="H113" s="15" t="s">
        <v>604</v>
      </c>
      <c r="I113" s="14" t="s">
        <v>355</v>
      </c>
      <c r="J113" s="34" t="s">
        <v>619</v>
      </c>
      <c r="K113" s="12" t="s">
        <v>632</v>
      </c>
    </row>
    <row r="114" spans="1:11" ht="27.75" customHeight="1">
      <c r="A114" s="12">
        <v>113</v>
      </c>
      <c r="B114" s="12" t="s">
        <v>350</v>
      </c>
      <c r="C114" s="12" t="s">
        <v>336</v>
      </c>
      <c r="D114" s="12" t="s">
        <v>351</v>
      </c>
      <c r="E114" s="12" t="s">
        <v>59</v>
      </c>
      <c r="F114" s="12" t="s">
        <v>60</v>
      </c>
      <c r="G114" s="12" t="s">
        <v>358</v>
      </c>
      <c r="H114" s="15" t="s">
        <v>604</v>
      </c>
      <c r="I114" s="14" t="s">
        <v>355</v>
      </c>
      <c r="J114" s="34" t="s">
        <v>619</v>
      </c>
      <c r="K114" s="12" t="s">
        <v>632</v>
      </c>
    </row>
    <row r="115" spans="1:11" ht="27.75" customHeight="1">
      <c r="A115" s="12">
        <v>114</v>
      </c>
      <c r="B115" s="12" t="s">
        <v>350</v>
      </c>
      <c r="C115" s="12" t="s">
        <v>336</v>
      </c>
      <c r="D115" s="12" t="s">
        <v>351</v>
      </c>
      <c r="E115" s="12" t="s">
        <v>59</v>
      </c>
      <c r="F115" s="12" t="s">
        <v>60</v>
      </c>
      <c r="G115" s="12" t="s">
        <v>359</v>
      </c>
      <c r="H115" s="15" t="s">
        <v>604</v>
      </c>
      <c r="I115" s="14" t="s">
        <v>355</v>
      </c>
      <c r="J115" s="34" t="s">
        <v>619</v>
      </c>
      <c r="K115" s="12" t="s">
        <v>632</v>
      </c>
    </row>
    <row r="116" spans="1:11" ht="27.75" customHeight="1">
      <c r="A116" s="12">
        <v>115</v>
      </c>
      <c r="B116" s="12" t="s">
        <v>350</v>
      </c>
      <c r="C116" s="12" t="s">
        <v>336</v>
      </c>
      <c r="D116" s="12" t="s">
        <v>351</v>
      </c>
      <c r="E116" s="12" t="s">
        <v>65</v>
      </c>
      <c r="F116" s="12" t="s">
        <v>66</v>
      </c>
      <c r="G116" s="12" t="s">
        <v>360</v>
      </c>
      <c r="H116" s="15" t="s">
        <v>604</v>
      </c>
      <c r="I116" s="14" t="s">
        <v>355</v>
      </c>
      <c r="J116" s="34" t="s">
        <v>619</v>
      </c>
      <c r="K116" s="12" t="s">
        <v>632</v>
      </c>
    </row>
    <row r="117" spans="1:11" ht="27.75" customHeight="1">
      <c r="A117" s="12">
        <v>116</v>
      </c>
      <c r="B117" s="12" t="s">
        <v>361</v>
      </c>
      <c r="C117" s="12" t="s">
        <v>336</v>
      </c>
      <c r="D117" s="12" t="s">
        <v>362</v>
      </c>
      <c r="E117" s="12" t="s">
        <v>47</v>
      </c>
      <c r="F117" s="12" t="s">
        <v>48</v>
      </c>
      <c r="G117" s="12" t="s">
        <v>364</v>
      </c>
      <c r="H117" s="15" t="s">
        <v>604</v>
      </c>
      <c r="I117" s="14" t="s">
        <v>366</v>
      </c>
      <c r="J117" s="33" t="s">
        <v>616</v>
      </c>
      <c r="K117" s="12"/>
    </row>
    <row r="118" spans="1:11" ht="27.75" customHeight="1">
      <c r="A118" s="12">
        <v>117</v>
      </c>
      <c r="B118" s="12" t="s">
        <v>361</v>
      </c>
      <c r="C118" s="12" t="s">
        <v>336</v>
      </c>
      <c r="D118" s="12" t="s">
        <v>362</v>
      </c>
      <c r="E118" s="12" t="s">
        <v>47</v>
      </c>
      <c r="F118" s="12" t="s">
        <v>48</v>
      </c>
      <c r="G118" s="12" t="s">
        <v>367</v>
      </c>
      <c r="H118" s="15" t="s">
        <v>604</v>
      </c>
      <c r="I118" s="14" t="s">
        <v>366</v>
      </c>
      <c r="J118" s="33" t="s">
        <v>616</v>
      </c>
      <c r="K118" s="12"/>
    </row>
    <row r="119" spans="1:11" ht="27.75" customHeight="1">
      <c r="A119" s="12">
        <v>118</v>
      </c>
      <c r="B119" s="12" t="s">
        <v>361</v>
      </c>
      <c r="C119" s="12" t="s">
        <v>336</v>
      </c>
      <c r="D119" s="12" t="s">
        <v>362</v>
      </c>
      <c r="E119" s="12" t="s">
        <v>59</v>
      </c>
      <c r="F119" s="12" t="s">
        <v>60</v>
      </c>
      <c r="G119" s="12" t="s">
        <v>369</v>
      </c>
      <c r="H119" s="15" t="s">
        <v>604</v>
      </c>
      <c r="I119" s="14" t="s">
        <v>366</v>
      </c>
      <c r="J119" s="33" t="s">
        <v>616</v>
      </c>
      <c r="K119" s="12"/>
    </row>
    <row r="120" spans="1:11" ht="27.75" customHeight="1">
      <c r="A120" s="12">
        <v>119</v>
      </c>
      <c r="B120" s="12" t="s">
        <v>361</v>
      </c>
      <c r="C120" s="12" t="s">
        <v>336</v>
      </c>
      <c r="D120" s="12" t="s">
        <v>362</v>
      </c>
      <c r="E120" s="12" t="s">
        <v>59</v>
      </c>
      <c r="F120" s="12" t="s">
        <v>60</v>
      </c>
      <c r="G120" s="12" t="s">
        <v>370</v>
      </c>
      <c r="H120" s="13" t="s">
        <v>633</v>
      </c>
      <c r="I120" s="14" t="s">
        <v>285</v>
      </c>
      <c r="J120" s="33" t="s">
        <v>616</v>
      </c>
      <c r="K120" s="12"/>
    </row>
    <row r="121" spans="1:11" ht="41.25" customHeight="1">
      <c r="A121" s="12">
        <v>120</v>
      </c>
      <c r="B121" s="12" t="s">
        <v>361</v>
      </c>
      <c r="C121" s="12" t="s">
        <v>336</v>
      </c>
      <c r="D121" s="12" t="s">
        <v>362</v>
      </c>
      <c r="E121" s="12" t="s">
        <v>65</v>
      </c>
      <c r="F121" s="12" t="s">
        <v>66</v>
      </c>
      <c r="G121" s="12" t="s">
        <v>373</v>
      </c>
      <c r="H121" s="13" t="s">
        <v>634</v>
      </c>
      <c r="I121" s="14" t="s">
        <v>366</v>
      </c>
      <c r="J121" s="33" t="s">
        <v>616</v>
      </c>
      <c r="K121" s="12"/>
    </row>
    <row r="122" spans="1:11" ht="27.75" customHeight="1">
      <c r="A122" s="12">
        <v>121</v>
      </c>
      <c r="B122" s="12" t="s">
        <v>375</v>
      </c>
      <c r="C122" s="12" t="s">
        <v>336</v>
      </c>
      <c r="D122" s="12" t="s">
        <v>376</v>
      </c>
      <c r="E122" s="12" t="s">
        <v>47</v>
      </c>
      <c r="F122" s="12" t="s">
        <v>48</v>
      </c>
      <c r="G122" s="12" t="s">
        <v>378</v>
      </c>
      <c r="H122" s="15" t="s">
        <v>604</v>
      </c>
      <c r="I122" s="22" t="s">
        <v>380</v>
      </c>
      <c r="J122" s="32" t="s">
        <v>602</v>
      </c>
      <c r="K122" s="12" t="s">
        <v>635</v>
      </c>
    </row>
    <row r="123" spans="1:11" ht="27.75" customHeight="1">
      <c r="A123" s="12">
        <v>122</v>
      </c>
      <c r="B123" s="12" t="s">
        <v>375</v>
      </c>
      <c r="C123" s="12" t="s">
        <v>336</v>
      </c>
      <c r="D123" s="12" t="s">
        <v>376</v>
      </c>
      <c r="E123" s="12" t="s">
        <v>47</v>
      </c>
      <c r="F123" s="12" t="s">
        <v>48</v>
      </c>
      <c r="G123" s="12" t="s">
        <v>381</v>
      </c>
      <c r="H123" s="15" t="s">
        <v>604</v>
      </c>
      <c r="I123" s="22" t="s">
        <v>380</v>
      </c>
      <c r="J123" s="32" t="s">
        <v>602</v>
      </c>
      <c r="K123" s="12" t="s">
        <v>635</v>
      </c>
    </row>
    <row r="124" spans="1:11" ht="27.75" customHeight="1">
      <c r="A124" s="12">
        <v>123</v>
      </c>
      <c r="B124" s="12" t="s">
        <v>375</v>
      </c>
      <c r="C124" s="12" t="s">
        <v>336</v>
      </c>
      <c r="D124" s="12" t="s">
        <v>376</v>
      </c>
      <c r="E124" s="12" t="s">
        <v>59</v>
      </c>
      <c r="F124" s="12" t="s">
        <v>60</v>
      </c>
      <c r="G124" s="12" t="s">
        <v>383</v>
      </c>
      <c r="H124" s="15" t="s">
        <v>604</v>
      </c>
      <c r="I124" s="22" t="s">
        <v>380</v>
      </c>
      <c r="J124" s="32" t="s">
        <v>602</v>
      </c>
      <c r="K124" s="12" t="s">
        <v>635</v>
      </c>
    </row>
    <row r="125" spans="1:11" ht="27.75" customHeight="1">
      <c r="A125" s="12">
        <v>124</v>
      </c>
      <c r="B125" s="12" t="s">
        <v>375</v>
      </c>
      <c r="C125" s="12" t="s">
        <v>336</v>
      </c>
      <c r="D125" s="12" t="s">
        <v>376</v>
      </c>
      <c r="E125" s="12" t="s">
        <v>59</v>
      </c>
      <c r="F125" s="12" t="s">
        <v>60</v>
      </c>
      <c r="G125" s="12" t="s">
        <v>384</v>
      </c>
      <c r="H125" s="15" t="s">
        <v>604</v>
      </c>
      <c r="I125" s="22" t="s">
        <v>380</v>
      </c>
      <c r="J125" s="32" t="s">
        <v>602</v>
      </c>
      <c r="K125" s="12" t="s">
        <v>635</v>
      </c>
    </row>
    <row r="126" spans="1:11" ht="27.75" customHeight="1">
      <c r="A126" s="12">
        <v>125</v>
      </c>
      <c r="B126" s="12" t="s">
        <v>375</v>
      </c>
      <c r="C126" s="12" t="s">
        <v>336</v>
      </c>
      <c r="D126" s="12" t="s">
        <v>376</v>
      </c>
      <c r="E126" s="12" t="s">
        <v>65</v>
      </c>
      <c r="F126" s="12" t="s">
        <v>66</v>
      </c>
      <c r="G126" s="12" t="s">
        <v>386</v>
      </c>
      <c r="H126" s="15" t="s">
        <v>604</v>
      </c>
      <c r="I126" s="22" t="s">
        <v>380</v>
      </c>
      <c r="J126" s="32" t="s">
        <v>602</v>
      </c>
      <c r="K126" s="12" t="s">
        <v>635</v>
      </c>
    </row>
    <row r="127" spans="1:11" ht="27.75" customHeight="1">
      <c r="A127" s="12">
        <v>126</v>
      </c>
      <c r="B127" s="12" t="s">
        <v>387</v>
      </c>
      <c r="C127" s="12" t="s">
        <v>336</v>
      </c>
      <c r="D127" s="12" t="s">
        <v>388</v>
      </c>
      <c r="E127" s="12" t="s">
        <v>47</v>
      </c>
      <c r="F127" s="12" t="s">
        <v>48</v>
      </c>
      <c r="G127" s="12" t="s">
        <v>390</v>
      </c>
      <c r="H127" s="15" t="s">
        <v>604</v>
      </c>
      <c r="I127" s="21" t="s">
        <v>189</v>
      </c>
      <c r="J127" s="34" t="s">
        <v>619</v>
      </c>
      <c r="K127" s="12" t="s">
        <v>610</v>
      </c>
    </row>
    <row r="128" spans="1:11" ht="27.75" customHeight="1">
      <c r="A128" s="12">
        <v>127</v>
      </c>
      <c r="B128" s="12" t="s">
        <v>387</v>
      </c>
      <c r="C128" s="12" t="s">
        <v>336</v>
      </c>
      <c r="D128" s="12" t="s">
        <v>388</v>
      </c>
      <c r="E128" s="12" t="s">
        <v>47</v>
      </c>
      <c r="F128" s="12" t="s">
        <v>48</v>
      </c>
      <c r="G128" s="12" t="s">
        <v>392</v>
      </c>
      <c r="H128" s="15" t="s">
        <v>604</v>
      </c>
      <c r="I128" s="21" t="s">
        <v>189</v>
      </c>
      <c r="J128" s="34" t="s">
        <v>619</v>
      </c>
      <c r="K128" s="12" t="s">
        <v>610</v>
      </c>
    </row>
    <row r="129" spans="1:11" ht="27.75" customHeight="1">
      <c r="A129" s="12">
        <v>128</v>
      </c>
      <c r="B129" s="12" t="s">
        <v>387</v>
      </c>
      <c r="C129" s="12" t="s">
        <v>336</v>
      </c>
      <c r="D129" s="12" t="s">
        <v>388</v>
      </c>
      <c r="E129" s="12" t="s">
        <v>59</v>
      </c>
      <c r="F129" s="12" t="s">
        <v>60</v>
      </c>
      <c r="G129" s="12" t="s">
        <v>394</v>
      </c>
      <c r="H129" s="15" t="s">
        <v>604</v>
      </c>
      <c r="I129" s="21" t="s">
        <v>189</v>
      </c>
      <c r="J129" s="34" t="s">
        <v>619</v>
      </c>
      <c r="K129" s="12" t="s">
        <v>610</v>
      </c>
    </row>
    <row r="130" spans="1:11" ht="27.75" customHeight="1">
      <c r="A130" s="12">
        <v>129</v>
      </c>
      <c r="B130" s="12" t="s">
        <v>387</v>
      </c>
      <c r="C130" s="12" t="s">
        <v>336</v>
      </c>
      <c r="D130" s="12" t="s">
        <v>388</v>
      </c>
      <c r="E130" s="12" t="s">
        <v>59</v>
      </c>
      <c r="F130" s="12" t="s">
        <v>60</v>
      </c>
      <c r="G130" s="12" t="s">
        <v>395</v>
      </c>
      <c r="H130" s="15" t="s">
        <v>604</v>
      </c>
      <c r="I130" s="21" t="s">
        <v>189</v>
      </c>
      <c r="J130" s="34" t="s">
        <v>619</v>
      </c>
      <c r="K130" s="12" t="s">
        <v>610</v>
      </c>
    </row>
    <row r="131" spans="1:11" ht="27.75" customHeight="1">
      <c r="A131" s="12">
        <v>130</v>
      </c>
      <c r="B131" s="12" t="s">
        <v>387</v>
      </c>
      <c r="C131" s="12" t="s">
        <v>336</v>
      </c>
      <c r="D131" s="12" t="s">
        <v>388</v>
      </c>
      <c r="E131" s="12" t="s">
        <v>65</v>
      </c>
      <c r="F131" s="12" t="s">
        <v>66</v>
      </c>
      <c r="G131" s="12" t="s">
        <v>397</v>
      </c>
      <c r="H131" s="15" t="s">
        <v>604</v>
      </c>
      <c r="I131" s="21" t="s">
        <v>189</v>
      </c>
      <c r="J131" s="34" t="s">
        <v>619</v>
      </c>
      <c r="K131" s="12" t="s">
        <v>610</v>
      </c>
    </row>
    <row r="132" spans="1:11" ht="41.25" customHeight="1">
      <c r="A132" s="12">
        <v>131</v>
      </c>
      <c r="B132" s="12" t="s">
        <v>398</v>
      </c>
      <c r="C132" s="12" t="s">
        <v>399</v>
      </c>
      <c r="D132" s="12" t="s">
        <v>400</v>
      </c>
      <c r="E132" s="12" t="s">
        <v>51</v>
      </c>
      <c r="F132" s="12" t="s">
        <v>263</v>
      </c>
      <c r="G132" s="12" t="s">
        <v>401</v>
      </c>
      <c r="H132" s="15" t="s">
        <v>604</v>
      </c>
      <c r="I132" s="21" t="s">
        <v>268</v>
      </c>
      <c r="J132" s="34" t="s">
        <v>619</v>
      </c>
      <c r="K132" s="12" t="s">
        <v>628</v>
      </c>
    </row>
    <row r="133" spans="1:11" ht="41.25" customHeight="1">
      <c r="A133" s="12">
        <v>132</v>
      </c>
      <c r="B133" s="12" t="s">
        <v>398</v>
      </c>
      <c r="C133" s="12" t="s">
        <v>399</v>
      </c>
      <c r="D133" s="12" t="s">
        <v>400</v>
      </c>
      <c r="E133" s="12" t="s">
        <v>47</v>
      </c>
      <c r="F133" s="12" t="s">
        <v>48</v>
      </c>
      <c r="G133" s="12" t="s">
        <v>405</v>
      </c>
      <c r="H133" s="15" t="s">
        <v>604</v>
      </c>
      <c r="I133" s="22" t="s">
        <v>326</v>
      </c>
      <c r="J133" s="34" t="s">
        <v>619</v>
      </c>
      <c r="K133" s="12" t="s">
        <v>628</v>
      </c>
    </row>
    <row r="134" spans="1:11" ht="27.75" customHeight="1">
      <c r="A134" s="12">
        <v>133</v>
      </c>
      <c r="B134" s="12" t="s">
        <v>398</v>
      </c>
      <c r="C134" s="12" t="s">
        <v>399</v>
      </c>
      <c r="D134" s="12" t="s">
        <v>400</v>
      </c>
      <c r="E134" s="12" t="s">
        <v>47</v>
      </c>
      <c r="F134" s="12" t="s">
        <v>48</v>
      </c>
      <c r="G134" s="12" t="s">
        <v>406</v>
      </c>
      <c r="H134" s="15" t="s">
        <v>604</v>
      </c>
      <c r="I134" s="22" t="s">
        <v>326</v>
      </c>
      <c r="J134" s="34" t="s">
        <v>619</v>
      </c>
      <c r="K134" s="12" t="s">
        <v>628</v>
      </c>
    </row>
    <row r="135" spans="1:11" ht="27.75" customHeight="1">
      <c r="A135" s="12">
        <v>134</v>
      </c>
      <c r="B135" s="12" t="s">
        <v>398</v>
      </c>
      <c r="C135" s="12" t="s">
        <v>399</v>
      </c>
      <c r="D135" s="12" t="s">
        <v>400</v>
      </c>
      <c r="E135" s="12" t="s">
        <v>59</v>
      </c>
      <c r="F135" s="12" t="s">
        <v>60</v>
      </c>
      <c r="G135" s="12" t="s">
        <v>408</v>
      </c>
      <c r="H135" s="15" t="s">
        <v>604</v>
      </c>
      <c r="I135" s="22" t="s">
        <v>326</v>
      </c>
      <c r="J135" s="34" t="s">
        <v>619</v>
      </c>
      <c r="K135" s="12" t="s">
        <v>628</v>
      </c>
    </row>
    <row r="136" spans="1:11" ht="27.75" customHeight="1">
      <c r="A136" s="12">
        <v>135</v>
      </c>
      <c r="B136" s="12" t="s">
        <v>398</v>
      </c>
      <c r="C136" s="12" t="s">
        <v>399</v>
      </c>
      <c r="D136" s="12" t="s">
        <v>400</v>
      </c>
      <c r="E136" s="12" t="s">
        <v>59</v>
      </c>
      <c r="F136" s="12" t="s">
        <v>60</v>
      </c>
      <c r="G136" s="12" t="s">
        <v>409</v>
      </c>
      <c r="H136" s="15" t="s">
        <v>604</v>
      </c>
      <c r="I136" s="22" t="s">
        <v>326</v>
      </c>
      <c r="J136" s="34" t="s">
        <v>619</v>
      </c>
      <c r="K136" s="12" t="s">
        <v>628</v>
      </c>
    </row>
    <row r="137" spans="1:11" ht="27.75" customHeight="1">
      <c r="A137" s="12">
        <v>136</v>
      </c>
      <c r="B137" s="12" t="s">
        <v>398</v>
      </c>
      <c r="C137" s="12" t="s">
        <v>399</v>
      </c>
      <c r="D137" s="12" t="s">
        <v>400</v>
      </c>
      <c r="E137" s="12" t="s">
        <v>65</v>
      </c>
      <c r="F137" s="12" t="s">
        <v>66</v>
      </c>
      <c r="G137" s="12" t="s">
        <v>411</v>
      </c>
      <c r="H137" s="15" t="s">
        <v>604</v>
      </c>
      <c r="I137" s="22" t="s">
        <v>326</v>
      </c>
      <c r="J137" s="34" t="s">
        <v>619</v>
      </c>
      <c r="K137" s="12" t="s">
        <v>628</v>
      </c>
    </row>
    <row r="138" spans="1:11" ht="27.75" customHeight="1">
      <c r="A138" s="12">
        <v>137</v>
      </c>
      <c r="B138" s="12" t="s">
        <v>412</v>
      </c>
      <c r="C138" s="12" t="s">
        <v>399</v>
      </c>
      <c r="D138" s="12" t="s">
        <v>413</v>
      </c>
      <c r="E138" s="12" t="s">
        <v>47</v>
      </c>
      <c r="F138" s="12" t="s">
        <v>48</v>
      </c>
      <c r="G138" s="12" t="s">
        <v>415</v>
      </c>
      <c r="H138" s="15" t="s">
        <v>604</v>
      </c>
      <c r="I138" s="20" t="s">
        <v>299</v>
      </c>
      <c r="J138" s="34" t="s">
        <v>619</v>
      </c>
      <c r="K138" s="12" t="s">
        <v>628</v>
      </c>
    </row>
    <row r="139" spans="1:11" ht="27.75" customHeight="1">
      <c r="A139" s="12">
        <v>138</v>
      </c>
      <c r="B139" s="12" t="s">
        <v>412</v>
      </c>
      <c r="C139" s="12" t="s">
        <v>399</v>
      </c>
      <c r="D139" s="12" t="s">
        <v>413</v>
      </c>
      <c r="E139" s="12" t="s">
        <v>47</v>
      </c>
      <c r="F139" s="12" t="s">
        <v>48</v>
      </c>
      <c r="G139" s="12" t="s">
        <v>418</v>
      </c>
      <c r="H139" s="15" t="s">
        <v>604</v>
      </c>
      <c r="I139" s="20" t="s">
        <v>299</v>
      </c>
      <c r="J139" s="34" t="s">
        <v>619</v>
      </c>
      <c r="K139" s="12" t="s">
        <v>628</v>
      </c>
    </row>
    <row r="140" spans="1:11" ht="27.75" customHeight="1">
      <c r="A140" s="12">
        <v>139</v>
      </c>
      <c r="B140" s="12" t="s">
        <v>412</v>
      </c>
      <c r="C140" s="12" t="s">
        <v>399</v>
      </c>
      <c r="D140" s="12" t="s">
        <v>413</v>
      </c>
      <c r="E140" s="12" t="s">
        <v>59</v>
      </c>
      <c r="F140" s="12" t="s">
        <v>60</v>
      </c>
      <c r="G140" s="12" t="s">
        <v>420</v>
      </c>
      <c r="H140" s="15" t="s">
        <v>604</v>
      </c>
      <c r="I140" s="20" t="s">
        <v>299</v>
      </c>
      <c r="J140" s="34" t="s">
        <v>619</v>
      </c>
      <c r="K140" s="12" t="s">
        <v>628</v>
      </c>
    </row>
    <row r="141" spans="1:11" ht="27.75" customHeight="1">
      <c r="A141" s="12">
        <v>140</v>
      </c>
      <c r="B141" s="12" t="s">
        <v>412</v>
      </c>
      <c r="C141" s="12" t="s">
        <v>399</v>
      </c>
      <c r="D141" s="12" t="s">
        <v>413</v>
      </c>
      <c r="E141" s="12" t="s">
        <v>59</v>
      </c>
      <c r="F141" s="12" t="s">
        <v>60</v>
      </c>
      <c r="G141" s="12" t="s">
        <v>421</v>
      </c>
      <c r="H141" s="15" t="s">
        <v>604</v>
      </c>
      <c r="I141" s="20" t="s">
        <v>299</v>
      </c>
      <c r="J141" s="34" t="s">
        <v>619</v>
      </c>
      <c r="K141" s="12" t="s">
        <v>628</v>
      </c>
    </row>
    <row r="142" spans="1:11" ht="27.75" customHeight="1">
      <c r="A142" s="12">
        <v>141</v>
      </c>
      <c r="B142" s="12" t="s">
        <v>412</v>
      </c>
      <c r="C142" s="12" t="s">
        <v>399</v>
      </c>
      <c r="D142" s="12" t="s">
        <v>413</v>
      </c>
      <c r="E142" s="12" t="s">
        <v>65</v>
      </c>
      <c r="F142" s="12" t="s">
        <v>66</v>
      </c>
      <c r="G142" s="12" t="s">
        <v>423</v>
      </c>
      <c r="H142" s="15" t="s">
        <v>604</v>
      </c>
      <c r="I142" s="20" t="s">
        <v>299</v>
      </c>
      <c r="J142" s="34" t="s">
        <v>619</v>
      </c>
      <c r="K142" s="12" t="s">
        <v>628</v>
      </c>
    </row>
    <row r="143" spans="1:11" ht="41.25" customHeight="1">
      <c r="A143" s="12">
        <v>142</v>
      </c>
      <c r="B143" s="12" t="s">
        <v>424</v>
      </c>
      <c r="C143" s="12" t="s">
        <v>399</v>
      </c>
      <c r="D143" s="12" t="s">
        <v>425</v>
      </c>
      <c r="E143" s="12" t="s">
        <v>47</v>
      </c>
      <c r="F143" s="12" t="s">
        <v>48</v>
      </c>
      <c r="G143" s="12" t="s">
        <v>427</v>
      </c>
      <c r="H143" s="15" t="s">
        <v>604</v>
      </c>
      <c r="I143" s="14" t="s">
        <v>429</v>
      </c>
      <c r="J143" s="32" t="s">
        <v>602</v>
      </c>
      <c r="K143" s="12" t="s">
        <v>636</v>
      </c>
    </row>
    <row r="144" spans="1:11" ht="27.75" customHeight="1">
      <c r="A144" s="12">
        <v>143</v>
      </c>
      <c r="B144" s="12" t="s">
        <v>424</v>
      </c>
      <c r="C144" s="12" t="s">
        <v>399</v>
      </c>
      <c r="D144" s="12" t="s">
        <v>425</v>
      </c>
      <c r="E144" s="12" t="s">
        <v>47</v>
      </c>
      <c r="F144" s="12" t="s">
        <v>48</v>
      </c>
      <c r="G144" s="12" t="s">
        <v>430</v>
      </c>
      <c r="H144" s="15" t="s">
        <v>604</v>
      </c>
      <c r="I144" s="14" t="s">
        <v>429</v>
      </c>
      <c r="J144" s="32" t="s">
        <v>602</v>
      </c>
      <c r="K144" s="12" t="s">
        <v>636</v>
      </c>
    </row>
    <row r="145" spans="1:11" ht="27.75" customHeight="1">
      <c r="A145" s="12">
        <v>144</v>
      </c>
      <c r="B145" s="12" t="s">
        <v>424</v>
      </c>
      <c r="C145" s="12" t="s">
        <v>399</v>
      </c>
      <c r="D145" s="12" t="s">
        <v>425</v>
      </c>
      <c r="E145" s="12" t="s">
        <v>59</v>
      </c>
      <c r="F145" s="12" t="s">
        <v>60</v>
      </c>
      <c r="G145" s="12" t="s">
        <v>432</v>
      </c>
      <c r="H145" s="15" t="s">
        <v>604</v>
      </c>
      <c r="I145" s="14" t="s">
        <v>429</v>
      </c>
      <c r="J145" s="32" t="s">
        <v>602</v>
      </c>
      <c r="K145" s="12" t="s">
        <v>636</v>
      </c>
    </row>
    <row r="146" spans="1:11" ht="27.75" customHeight="1">
      <c r="A146" s="12">
        <v>145</v>
      </c>
      <c r="B146" s="12" t="s">
        <v>424</v>
      </c>
      <c r="C146" s="12" t="s">
        <v>399</v>
      </c>
      <c r="D146" s="12" t="s">
        <v>425</v>
      </c>
      <c r="E146" s="12" t="s">
        <v>59</v>
      </c>
      <c r="F146" s="12" t="s">
        <v>60</v>
      </c>
      <c r="G146" s="12" t="s">
        <v>433</v>
      </c>
      <c r="H146" s="15" t="s">
        <v>604</v>
      </c>
      <c r="I146" s="14" t="s">
        <v>429</v>
      </c>
      <c r="J146" s="32" t="s">
        <v>602</v>
      </c>
      <c r="K146" s="12" t="s">
        <v>636</v>
      </c>
    </row>
    <row r="147" spans="1:11" ht="41.25" customHeight="1">
      <c r="A147" s="12">
        <v>146</v>
      </c>
      <c r="B147" s="12" t="s">
        <v>424</v>
      </c>
      <c r="C147" s="12" t="s">
        <v>399</v>
      </c>
      <c r="D147" s="12" t="s">
        <v>425</v>
      </c>
      <c r="E147" s="12" t="s">
        <v>65</v>
      </c>
      <c r="F147" s="12" t="s">
        <v>66</v>
      </c>
      <c r="G147" s="12" t="s">
        <v>435</v>
      </c>
      <c r="H147" s="13" t="s">
        <v>436</v>
      </c>
      <c r="I147" s="14" t="s">
        <v>429</v>
      </c>
      <c r="J147" s="32" t="s">
        <v>602</v>
      </c>
      <c r="K147" s="12" t="s">
        <v>636</v>
      </c>
    </row>
    <row r="148" spans="1:11" ht="27.75" customHeight="1">
      <c r="A148" s="12">
        <v>147</v>
      </c>
      <c r="B148" s="12" t="s">
        <v>424</v>
      </c>
      <c r="C148" s="12" t="s">
        <v>399</v>
      </c>
      <c r="D148" s="12" t="s">
        <v>425</v>
      </c>
      <c r="E148" s="12" t="s">
        <v>65</v>
      </c>
      <c r="F148" s="12" t="s">
        <v>66</v>
      </c>
      <c r="G148" s="12" t="s">
        <v>437</v>
      </c>
      <c r="H148" s="15" t="s">
        <v>604</v>
      </c>
      <c r="I148" s="14" t="s">
        <v>429</v>
      </c>
      <c r="J148" s="32" t="s">
        <v>602</v>
      </c>
      <c r="K148" s="12" t="s">
        <v>636</v>
      </c>
    </row>
    <row r="149" spans="1:11" ht="27.75" customHeight="1">
      <c r="A149" s="12">
        <v>148</v>
      </c>
      <c r="B149" s="12" t="s">
        <v>438</v>
      </c>
      <c r="C149" s="12" t="s">
        <v>399</v>
      </c>
      <c r="D149" s="12" t="s">
        <v>439</v>
      </c>
      <c r="E149" s="12" t="s">
        <v>47</v>
      </c>
      <c r="F149" s="12" t="s">
        <v>48</v>
      </c>
      <c r="G149" s="12" t="s">
        <v>441</v>
      </c>
      <c r="H149" s="15" t="s">
        <v>604</v>
      </c>
      <c r="I149" s="21" t="s">
        <v>200</v>
      </c>
      <c r="J149" s="34" t="s">
        <v>619</v>
      </c>
      <c r="K149" s="12" t="s">
        <v>628</v>
      </c>
    </row>
    <row r="150" spans="1:11" ht="27.75" customHeight="1">
      <c r="A150" s="12">
        <v>149</v>
      </c>
      <c r="B150" s="12" t="s">
        <v>438</v>
      </c>
      <c r="C150" s="12" t="s">
        <v>399</v>
      </c>
      <c r="D150" s="12" t="s">
        <v>439</v>
      </c>
      <c r="E150" s="12" t="s">
        <v>47</v>
      </c>
      <c r="F150" s="12" t="s">
        <v>48</v>
      </c>
      <c r="G150" s="12" t="s">
        <v>443</v>
      </c>
      <c r="H150" s="13" t="s">
        <v>637</v>
      </c>
      <c r="I150" s="21" t="s">
        <v>200</v>
      </c>
      <c r="J150" s="34" t="s">
        <v>619</v>
      </c>
      <c r="K150" s="12" t="s">
        <v>628</v>
      </c>
    </row>
    <row r="151" spans="1:11" ht="27.75" customHeight="1">
      <c r="A151" s="12">
        <v>150</v>
      </c>
      <c r="B151" s="12" t="s">
        <v>438</v>
      </c>
      <c r="C151" s="12" t="s">
        <v>399</v>
      </c>
      <c r="D151" s="12" t="s">
        <v>439</v>
      </c>
      <c r="E151" s="12" t="s">
        <v>59</v>
      </c>
      <c r="F151" s="12" t="s">
        <v>60</v>
      </c>
      <c r="G151" s="12" t="s">
        <v>446</v>
      </c>
      <c r="H151" s="15" t="s">
        <v>604</v>
      </c>
      <c r="I151" s="21" t="s">
        <v>200</v>
      </c>
      <c r="J151" s="34" t="s">
        <v>619</v>
      </c>
      <c r="K151" s="12" t="s">
        <v>628</v>
      </c>
    </row>
    <row r="152" spans="1:11" ht="41.25" customHeight="1">
      <c r="A152" s="12">
        <v>151</v>
      </c>
      <c r="B152" s="12" t="s">
        <v>438</v>
      </c>
      <c r="C152" s="12" t="s">
        <v>399</v>
      </c>
      <c r="D152" s="12" t="s">
        <v>439</v>
      </c>
      <c r="E152" s="12" t="s">
        <v>59</v>
      </c>
      <c r="F152" s="12" t="s">
        <v>60</v>
      </c>
      <c r="G152" s="12" t="s">
        <v>448</v>
      </c>
      <c r="H152" s="13" t="s">
        <v>449</v>
      </c>
      <c r="I152" s="21" t="s">
        <v>200</v>
      </c>
      <c r="J152" s="34" t="s">
        <v>619</v>
      </c>
      <c r="K152" s="12" t="s">
        <v>628</v>
      </c>
    </row>
    <row r="153" spans="1:11" ht="27.75" customHeight="1">
      <c r="A153" s="12">
        <v>152</v>
      </c>
      <c r="B153" s="12" t="s">
        <v>438</v>
      </c>
      <c r="C153" s="12" t="s">
        <v>399</v>
      </c>
      <c r="D153" s="12" t="s">
        <v>439</v>
      </c>
      <c r="E153" s="12" t="s">
        <v>65</v>
      </c>
      <c r="F153" s="12" t="s">
        <v>66</v>
      </c>
      <c r="G153" s="12" t="s">
        <v>451</v>
      </c>
      <c r="H153" s="15" t="s">
        <v>604</v>
      </c>
      <c r="I153" s="21" t="s">
        <v>200</v>
      </c>
      <c r="J153" s="34" t="s">
        <v>619</v>
      </c>
      <c r="K153" s="12" t="s">
        <v>628</v>
      </c>
    </row>
    <row r="154" spans="1:11" ht="41.25" customHeight="1">
      <c r="A154" s="12">
        <v>153</v>
      </c>
      <c r="B154" s="12" t="s">
        <v>452</v>
      </c>
      <c r="C154" s="12" t="s">
        <v>399</v>
      </c>
      <c r="D154" s="12" t="s">
        <v>453</v>
      </c>
      <c r="E154" s="12" t="s">
        <v>47</v>
      </c>
      <c r="F154" s="12" t="s">
        <v>48</v>
      </c>
      <c r="G154" s="12" t="s">
        <v>455</v>
      </c>
      <c r="H154" s="13" t="s">
        <v>638</v>
      </c>
      <c r="I154" s="20" t="s">
        <v>299</v>
      </c>
      <c r="J154" s="34" t="s">
        <v>619</v>
      </c>
      <c r="K154" s="12" t="s">
        <v>628</v>
      </c>
    </row>
    <row r="155" spans="1:11" ht="27.75" customHeight="1">
      <c r="A155" s="12">
        <v>154</v>
      </c>
      <c r="B155" s="12" t="s">
        <v>452</v>
      </c>
      <c r="C155" s="12" t="s">
        <v>399</v>
      </c>
      <c r="D155" s="12" t="s">
        <v>453</v>
      </c>
      <c r="E155" s="12" t="s">
        <v>47</v>
      </c>
      <c r="F155" s="12" t="s">
        <v>48</v>
      </c>
      <c r="G155" s="12" t="s">
        <v>458</v>
      </c>
      <c r="H155" s="15" t="s">
        <v>604</v>
      </c>
      <c r="I155" s="20" t="s">
        <v>299</v>
      </c>
      <c r="J155" s="34" t="s">
        <v>619</v>
      </c>
      <c r="K155" s="12" t="s">
        <v>628</v>
      </c>
    </row>
    <row r="156" spans="1:11" ht="27.75" customHeight="1">
      <c r="A156" s="12">
        <v>155</v>
      </c>
      <c r="B156" s="12" t="s">
        <v>452</v>
      </c>
      <c r="C156" s="12" t="s">
        <v>399</v>
      </c>
      <c r="D156" s="12" t="s">
        <v>453</v>
      </c>
      <c r="E156" s="12" t="s">
        <v>59</v>
      </c>
      <c r="F156" s="12" t="s">
        <v>60</v>
      </c>
      <c r="G156" s="12" t="s">
        <v>460</v>
      </c>
      <c r="H156" s="13" t="s">
        <v>639</v>
      </c>
      <c r="I156" s="20" t="s">
        <v>299</v>
      </c>
      <c r="J156" s="34" t="s">
        <v>619</v>
      </c>
      <c r="K156" s="12" t="s">
        <v>628</v>
      </c>
    </row>
    <row r="157" spans="1:11" ht="27.75" customHeight="1">
      <c r="A157" s="12">
        <v>156</v>
      </c>
      <c r="B157" s="12" t="s">
        <v>452</v>
      </c>
      <c r="C157" s="12" t="s">
        <v>399</v>
      </c>
      <c r="D157" s="12" t="s">
        <v>453</v>
      </c>
      <c r="E157" s="12" t="s">
        <v>59</v>
      </c>
      <c r="F157" s="12" t="s">
        <v>60</v>
      </c>
      <c r="G157" s="12" t="s">
        <v>462</v>
      </c>
      <c r="H157" s="15" t="s">
        <v>604</v>
      </c>
      <c r="I157" s="20" t="s">
        <v>299</v>
      </c>
      <c r="J157" s="34" t="s">
        <v>619</v>
      </c>
      <c r="K157" s="12" t="s">
        <v>628</v>
      </c>
    </row>
    <row r="158" spans="1:11" ht="41.25" customHeight="1">
      <c r="A158" s="12">
        <v>157</v>
      </c>
      <c r="B158" s="12" t="s">
        <v>452</v>
      </c>
      <c r="C158" s="12" t="s">
        <v>399</v>
      </c>
      <c r="D158" s="12" t="s">
        <v>453</v>
      </c>
      <c r="E158" s="12" t="s">
        <v>65</v>
      </c>
      <c r="F158" s="12" t="s">
        <v>66</v>
      </c>
      <c r="G158" s="12" t="s">
        <v>464</v>
      </c>
      <c r="H158" s="13" t="s">
        <v>640</v>
      </c>
      <c r="I158" s="20" t="s">
        <v>299</v>
      </c>
      <c r="J158" s="34" t="s">
        <v>619</v>
      </c>
      <c r="K158" s="12" t="s">
        <v>628</v>
      </c>
    </row>
    <row r="159" spans="1:11" ht="41.25" customHeight="1">
      <c r="A159" s="12">
        <v>158</v>
      </c>
      <c r="B159" s="12" t="s">
        <v>466</v>
      </c>
      <c r="C159" s="12" t="s">
        <v>467</v>
      </c>
      <c r="D159" s="12" t="s">
        <v>468</v>
      </c>
      <c r="E159" s="12" t="s">
        <v>51</v>
      </c>
      <c r="F159" s="12" t="s">
        <v>263</v>
      </c>
      <c r="G159" s="12" t="s">
        <v>469</v>
      </c>
      <c r="H159" s="15" t="s">
        <v>604</v>
      </c>
      <c r="I159" s="21" t="s">
        <v>268</v>
      </c>
      <c r="J159" s="33" t="s">
        <v>616</v>
      </c>
      <c r="K159" s="12"/>
    </row>
    <row r="160" spans="1:11" ht="27.75" customHeight="1">
      <c r="A160" s="12">
        <v>159</v>
      </c>
      <c r="B160" s="12" t="s">
        <v>466</v>
      </c>
      <c r="C160" s="12" t="s">
        <v>467</v>
      </c>
      <c r="D160" s="12" t="s">
        <v>468</v>
      </c>
      <c r="E160" s="12" t="s">
        <v>47</v>
      </c>
      <c r="F160" s="12" t="s">
        <v>48</v>
      </c>
      <c r="G160" s="12" t="s">
        <v>472</v>
      </c>
      <c r="H160" s="15" t="s">
        <v>604</v>
      </c>
      <c r="I160" s="19" t="s">
        <v>474</v>
      </c>
      <c r="J160" s="33" t="s">
        <v>616</v>
      </c>
      <c r="K160" s="12"/>
    </row>
    <row r="161" spans="1:11" ht="27.75" customHeight="1">
      <c r="A161" s="12">
        <v>160</v>
      </c>
      <c r="B161" s="12" t="s">
        <v>466</v>
      </c>
      <c r="C161" s="12" t="s">
        <v>467</v>
      </c>
      <c r="D161" s="12" t="s">
        <v>468</v>
      </c>
      <c r="E161" s="12" t="s">
        <v>47</v>
      </c>
      <c r="F161" s="12" t="s">
        <v>48</v>
      </c>
      <c r="G161" s="12" t="s">
        <v>475</v>
      </c>
      <c r="H161" s="15" t="s">
        <v>604</v>
      </c>
      <c r="I161" s="19" t="s">
        <v>474</v>
      </c>
      <c r="J161" s="33" t="s">
        <v>616</v>
      </c>
      <c r="K161" s="12"/>
    </row>
    <row r="162" spans="1:11" ht="27.75" customHeight="1">
      <c r="A162" s="12">
        <v>161</v>
      </c>
      <c r="B162" s="12" t="s">
        <v>466</v>
      </c>
      <c r="C162" s="12" t="s">
        <v>467</v>
      </c>
      <c r="D162" s="12" t="s">
        <v>468</v>
      </c>
      <c r="E162" s="12" t="s">
        <v>59</v>
      </c>
      <c r="F162" s="12" t="s">
        <v>60</v>
      </c>
      <c r="G162" s="12" t="s">
        <v>477</v>
      </c>
      <c r="H162" s="15" t="s">
        <v>604</v>
      </c>
      <c r="I162" s="19" t="s">
        <v>474</v>
      </c>
      <c r="J162" s="33" t="s">
        <v>616</v>
      </c>
      <c r="K162" s="12"/>
    </row>
    <row r="163" spans="1:11" ht="27.75" customHeight="1">
      <c r="A163" s="12">
        <v>162</v>
      </c>
      <c r="B163" s="12" t="s">
        <v>466</v>
      </c>
      <c r="C163" s="12" t="s">
        <v>467</v>
      </c>
      <c r="D163" s="12" t="s">
        <v>468</v>
      </c>
      <c r="E163" s="12" t="s">
        <v>59</v>
      </c>
      <c r="F163" s="12" t="s">
        <v>60</v>
      </c>
      <c r="G163" s="12" t="s">
        <v>478</v>
      </c>
      <c r="H163" s="15" t="s">
        <v>604</v>
      </c>
      <c r="I163" s="19" t="s">
        <v>474</v>
      </c>
      <c r="J163" s="33" t="s">
        <v>616</v>
      </c>
      <c r="K163" s="12"/>
    </row>
    <row r="164" spans="1:11" ht="27.75" customHeight="1">
      <c r="A164" s="12">
        <v>163</v>
      </c>
      <c r="B164" s="12" t="s">
        <v>466</v>
      </c>
      <c r="C164" s="12" t="s">
        <v>467</v>
      </c>
      <c r="D164" s="12" t="s">
        <v>468</v>
      </c>
      <c r="E164" s="12" t="s">
        <v>65</v>
      </c>
      <c r="F164" s="12" t="s">
        <v>66</v>
      </c>
      <c r="G164" s="12" t="s">
        <v>480</v>
      </c>
      <c r="H164" s="15" t="s">
        <v>604</v>
      </c>
      <c r="I164" s="19" t="s">
        <v>474</v>
      </c>
      <c r="J164" s="33" t="s">
        <v>616</v>
      </c>
      <c r="K164" s="12"/>
    </row>
    <row r="165" spans="1:11" ht="27.75" customHeight="1">
      <c r="A165" s="12">
        <v>164</v>
      </c>
      <c r="B165" s="12" t="s">
        <v>481</v>
      </c>
      <c r="C165" s="12" t="s">
        <v>467</v>
      </c>
      <c r="D165" s="12" t="s">
        <v>482</v>
      </c>
      <c r="E165" s="12" t="s">
        <v>47</v>
      </c>
      <c r="F165" s="12" t="s">
        <v>48</v>
      </c>
      <c r="G165" s="12" t="s">
        <v>484</v>
      </c>
      <c r="H165" s="15" t="s">
        <v>604</v>
      </c>
      <c r="I165" s="19" t="s">
        <v>486</v>
      </c>
      <c r="J165" s="33" t="s">
        <v>616</v>
      </c>
      <c r="K165" s="12"/>
    </row>
    <row r="166" spans="1:11" ht="27.75" customHeight="1">
      <c r="A166" s="12">
        <v>165</v>
      </c>
      <c r="B166" s="12" t="s">
        <v>481</v>
      </c>
      <c r="C166" s="12" t="s">
        <v>467</v>
      </c>
      <c r="D166" s="12" t="s">
        <v>482</v>
      </c>
      <c r="E166" s="12" t="s">
        <v>47</v>
      </c>
      <c r="F166" s="12" t="s">
        <v>48</v>
      </c>
      <c r="G166" s="12" t="s">
        <v>487</v>
      </c>
      <c r="H166" s="15" t="s">
        <v>604</v>
      </c>
      <c r="I166" s="19" t="s">
        <v>486</v>
      </c>
      <c r="J166" s="33" t="s">
        <v>616</v>
      </c>
      <c r="K166" s="12"/>
    </row>
    <row r="167" spans="1:11" ht="27.75" customHeight="1">
      <c r="A167" s="12">
        <v>166</v>
      </c>
      <c r="B167" s="12" t="s">
        <v>481</v>
      </c>
      <c r="C167" s="12" t="s">
        <v>467</v>
      </c>
      <c r="D167" s="12" t="s">
        <v>482</v>
      </c>
      <c r="E167" s="12" t="s">
        <v>59</v>
      </c>
      <c r="F167" s="12" t="s">
        <v>60</v>
      </c>
      <c r="G167" s="12" t="s">
        <v>489</v>
      </c>
      <c r="H167" s="15" t="s">
        <v>604</v>
      </c>
      <c r="I167" s="19" t="s">
        <v>486</v>
      </c>
      <c r="J167" s="33" t="s">
        <v>616</v>
      </c>
      <c r="K167" s="12"/>
    </row>
    <row r="168" spans="1:11" ht="27.75" customHeight="1">
      <c r="A168" s="12">
        <v>167</v>
      </c>
      <c r="B168" s="12" t="s">
        <v>481</v>
      </c>
      <c r="C168" s="12" t="s">
        <v>467</v>
      </c>
      <c r="D168" s="12" t="s">
        <v>482</v>
      </c>
      <c r="E168" s="12" t="s">
        <v>59</v>
      </c>
      <c r="F168" s="12" t="s">
        <v>60</v>
      </c>
      <c r="G168" s="12" t="s">
        <v>490</v>
      </c>
      <c r="H168" s="15" t="s">
        <v>604</v>
      </c>
      <c r="I168" s="19" t="s">
        <v>486</v>
      </c>
      <c r="J168" s="33" t="s">
        <v>616</v>
      </c>
      <c r="K168" s="12"/>
    </row>
    <row r="169" spans="1:11" ht="41.25" customHeight="1">
      <c r="A169" s="12">
        <v>168</v>
      </c>
      <c r="B169" s="12" t="s">
        <v>481</v>
      </c>
      <c r="C169" s="12" t="s">
        <v>467</v>
      </c>
      <c r="D169" s="12" t="s">
        <v>482</v>
      </c>
      <c r="E169" s="12" t="s">
        <v>65</v>
      </c>
      <c r="F169" s="12" t="s">
        <v>66</v>
      </c>
      <c r="G169" s="12" t="s">
        <v>492</v>
      </c>
      <c r="H169" s="13" t="s">
        <v>493</v>
      </c>
      <c r="I169" s="19" t="s">
        <v>486</v>
      </c>
      <c r="J169" s="33" t="s">
        <v>616</v>
      </c>
      <c r="K169" s="12"/>
    </row>
    <row r="170" spans="1:11" ht="27.75" customHeight="1">
      <c r="A170" s="12">
        <v>169</v>
      </c>
      <c r="B170" s="12" t="s">
        <v>494</v>
      </c>
      <c r="C170" s="12" t="s">
        <v>467</v>
      </c>
      <c r="D170" s="12" t="s">
        <v>495</v>
      </c>
      <c r="E170" s="12" t="s">
        <v>47</v>
      </c>
      <c r="F170" s="12" t="s">
        <v>48</v>
      </c>
      <c r="G170" s="12" t="s">
        <v>497</v>
      </c>
      <c r="H170" s="15" t="s">
        <v>604</v>
      </c>
      <c r="I170" s="19" t="s">
        <v>499</v>
      </c>
      <c r="J170" s="33" t="s">
        <v>616</v>
      </c>
      <c r="K170" s="12"/>
    </row>
    <row r="171" spans="1:11" ht="27.75" customHeight="1">
      <c r="A171" s="12">
        <v>170</v>
      </c>
      <c r="B171" s="12" t="s">
        <v>494</v>
      </c>
      <c r="C171" s="12" t="s">
        <v>467</v>
      </c>
      <c r="D171" s="12" t="s">
        <v>495</v>
      </c>
      <c r="E171" s="12" t="s">
        <v>47</v>
      </c>
      <c r="F171" s="12" t="s">
        <v>48</v>
      </c>
      <c r="G171" s="12" t="s">
        <v>500</v>
      </c>
      <c r="H171" s="15" t="s">
        <v>604</v>
      </c>
      <c r="I171" s="19" t="s">
        <v>499</v>
      </c>
      <c r="J171" s="33" t="s">
        <v>616</v>
      </c>
      <c r="K171" s="12"/>
    </row>
    <row r="172" spans="1:11" ht="27.75" customHeight="1">
      <c r="A172" s="12">
        <v>171</v>
      </c>
      <c r="B172" s="12" t="s">
        <v>494</v>
      </c>
      <c r="C172" s="12" t="s">
        <v>467</v>
      </c>
      <c r="D172" s="12" t="s">
        <v>495</v>
      </c>
      <c r="E172" s="12" t="s">
        <v>59</v>
      </c>
      <c r="F172" s="12" t="s">
        <v>60</v>
      </c>
      <c r="G172" s="12" t="s">
        <v>502</v>
      </c>
      <c r="H172" s="15" t="s">
        <v>604</v>
      </c>
      <c r="I172" s="19" t="s">
        <v>499</v>
      </c>
      <c r="J172" s="33" t="s">
        <v>616</v>
      </c>
      <c r="K172" s="12"/>
    </row>
    <row r="173" spans="1:11" ht="27.75" customHeight="1">
      <c r="A173" s="12">
        <v>172</v>
      </c>
      <c r="B173" s="12" t="s">
        <v>494</v>
      </c>
      <c r="C173" s="12" t="s">
        <v>467</v>
      </c>
      <c r="D173" s="12" t="s">
        <v>495</v>
      </c>
      <c r="E173" s="12" t="s">
        <v>59</v>
      </c>
      <c r="F173" s="12" t="s">
        <v>60</v>
      </c>
      <c r="G173" s="12" t="s">
        <v>503</v>
      </c>
      <c r="H173" s="15" t="s">
        <v>604</v>
      </c>
      <c r="I173" s="19" t="s">
        <v>499</v>
      </c>
      <c r="J173" s="33" t="s">
        <v>616</v>
      </c>
      <c r="K173" s="12"/>
    </row>
    <row r="174" spans="1:11" ht="27.75" customHeight="1">
      <c r="A174" s="12">
        <v>173</v>
      </c>
      <c r="B174" s="12" t="s">
        <v>494</v>
      </c>
      <c r="C174" s="12" t="s">
        <v>467</v>
      </c>
      <c r="D174" s="12" t="s">
        <v>495</v>
      </c>
      <c r="E174" s="12" t="s">
        <v>65</v>
      </c>
      <c r="F174" s="12" t="s">
        <v>66</v>
      </c>
      <c r="G174" s="12" t="s">
        <v>505</v>
      </c>
      <c r="H174" s="15" t="s">
        <v>604</v>
      </c>
      <c r="I174" s="19" t="s">
        <v>499</v>
      </c>
      <c r="J174" s="33" t="s">
        <v>616</v>
      </c>
      <c r="K174" s="12"/>
    </row>
    <row r="175" spans="1:11" ht="27.75" customHeight="1">
      <c r="A175" s="12">
        <v>174</v>
      </c>
      <c r="B175" s="12" t="s">
        <v>506</v>
      </c>
      <c r="C175" s="12" t="s">
        <v>467</v>
      </c>
      <c r="D175" s="12" t="s">
        <v>507</v>
      </c>
      <c r="E175" s="12" t="s">
        <v>47</v>
      </c>
      <c r="F175" s="12" t="s">
        <v>48</v>
      </c>
      <c r="G175" s="12" t="s">
        <v>509</v>
      </c>
      <c r="H175" s="15" t="s">
        <v>604</v>
      </c>
      <c r="I175" s="19" t="s">
        <v>511</v>
      </c>
      <c r="J175" s="33" t="s">
        <v>616</v>
      </c>
      <c r="K175" s="12"/>
    </row>
    <row r="176" spans="1:11" ht="27.75" customHeight="1">
      <c r="A176" s="12">
        <v>175</v>
      </c>
      <c r="B176" s="12" t="s">
        <v>506</v>
      </c>
      <c r="C176" s="12" t="s">
        <v>467</v>
      </c>
      <c r="D176" s="12" t="s">
        <v>507</v>
      </c>
      <c r="E176" s="12" t="s">
        <v>47</v>
      </c>
      <c r="F176" s="12" t="s">
        <v>48</v>
      </c>
      <c r="G176" s="12" t="s">
        <v>512</v>
      </c>
      <c r="H176" s="15" t="s">
        <v>604</v>
      </c>
      <c r="I176" s="21" t="s">
        <v>200</v>
      </c>
      <c r="J176" s="34" t="s">
        <v>619</v>
      </c>
      <c r="K176" s="12" t="s">
        <v>606</v>
      </c>
    </row>
    <row r="177" spans="1:11" ht="27.75" customHeight="1">
      <c r="A177" s="12">
        <v>176</v>
      </c>
      <c r="B177" s="12" t="s">
        <v>506</v>
      </c>
      <c r="C177" s="12" t="s">
        <v>467</v>
      </c>
      <c r="D177" s="12" t="s">
        <v>507</v>
      </c>
      <c r="E177" s="12" t="s">
        <v>59</v>
      </c>
      <c r="F177" s="12" t="s">
        <v>60</v>
      </c>
      <c r="G177" s="12" t="s">
        <v>514</v>
      </c>
      <c r="H177" s="15" t="s">
        <v>604</v>
      </c>
      <c r="I177" s="21" t="s">
        <v>200</v>
      </c>
      <c r="J177" s="34" t="s">
        <v>619</v>
      </c>
      <c r="K177" s="12" t="s">
        <v>606</v>
      </c>
    </row>
    <row r="178" spans="1:11" ht="27.75" customHeight="1">
      <c r="A178" s="12">
        <v>177</v>
      </c>
      <c r="B178" s="12" t="s">
        <v>506</v>
      </c>
      <c r="C178" s="12" t="s">
        <v>467</v>
      </c>
      <c r="D178" s="12" t="s">
        <v>507</v>
      </c>
      <c r="E178" s="12" t="s">
        <v>59</v>
      </c>
      <c r="F178" s="12" t="s">
        <v>60</v>
      </c>
      <c r="G178" s="12" t="s">
        <v>515</v>
      </c>
      <c r="H178" s="15" t="s">
        <v>604</v>
      </c>
      <c r="I178" s="19" t="s">
        <v>511</v>
      </c>
      <c r="J178" s="33" t="s">
        <v>616</v>
      </c>
      <c r="K178" s="12"/>
    </row>
    <row r="179" spans="1:11" ht="41.25" customHeight="1">
      <c r="A179" s="12">
        <v>178</v>
      </c>
      <c r="B179" s="12" t="s">
        <v>506</v>
      </c>
      <c r="C179" s="12" t="s">
        <v>467</v>
      </c>
      <c r="D179" s="12" t="s">
        <v>507</v>
      </c>
      <c r="E179" s="12" t="s">
        <v>65</v>
      </c>
      <c r="F179" s="12" t="s">
        <v>66</v>
      </c>
      <c r="G179" s="12" t="s">
        <v>517</v>
      </c>
      <c r="H179" s="15" t="s">
        <v>604</v>
      </c>
      <c r="I179" s="19" t="s">
        <v>511</v>
      </c>
      <c r="J179" s="33" t="s">
        <v>616</v>
      </c>
      <c r="K179" s="12"/>
    </row>
    <row r="180" spans="1:11" ht="27.75" customHeight="1">
      <c r="A180" s="12">
        <v>179</v>
      </c>
      <c r="B180" s="12" t="s">
        <v>519</v>
      </c>
      <c r="C180" s="12" t="s">
        <v>520</v>
      </c>
      <c r="D180" s="12" t="s">
        <v>521</v>
      </c>
      <c r="E180" s="12" t="s">
        <v>47</v>
      </c>
      <c r="F180" s="12" t="s">
        <v>48</v>
      </c>
      <c r="G180" s="12" t="s">
        <v>523</v>
      </c>
      <c r="H180" s="15" t="s">
        <v>604</v>
      </c>
      <c r="I180" s="19" t="s">
        <v>525</v>
      </c>
      <c r="J180" s="33" t="s">
        <v>616</v>
      </c>
      <c r="K180" s="12"/>
    </row>
    <row r="181" spans="1:11" ht="27.75" customHeight="1">
      <c r="A181" s="12">
        <v>180</v>
      </c>
      <c r="B181" s="12" t="s">
        <v>519</v>
      </c>
      <c r="C181" s="12" t="s">
        <v>520</v>
      </c>
      <c r="D181" s="12" t="s">
        <v>521</v>
      </c>
      <c r="E181" s="12" t="s">
        <v>47</v>
      </c>
      <c r="F181" s="12" t="s">
        <v>48</v>
      </c>
      <c r="G181" s="12" t="s">
        <v>526</v>
      </c>
      <c r="H181" s="15" t="s">
        <v>604</v>
      </c>
      <c r="I181" s="19" t="s">
        <v>525</v>
      </c>
      <c r="J181" s="33" t="s">
        <v>616</v>
      </c>
      <c r="K181" s="12"/>
    </row>
    <row r="182" spans="1:11" ht="41.25" customHeight="1">
      <c r="A182" s="12">
        <v>181</v>
      </c>
      <c r="B182" s="12" t="s">
        <v>519</v>
      </c>
      <c r="C182" s="12" t="s">
        <v>520</v>
      </c>
      <c r="D182" s="12" t="s">
        <v>521</v>
      </c>
      <c r="E182" s="12" t="s">
        <v>47</v>
      </c>
      <c r="F182" s="12" t="s">
        <v>48</v>
      </c>
      <c r="G182" s="12" t="s">
        <v>527</v>
      </c>
      <c r="H182" s="13" t="s">
        <v>528</v>
      </c>
      <c r="I182" s="19" t="s">
        <v>525</v>
      </c>
      <c r="J182" s="33" t="s">
        <v>616</v>
      </c>
      <c r="K182" s="12"/>
    </row>
    <row r="183" spans="1:11" ht="27.75" customHeight="1">
      <c r="A183" s="12">
        <v>182</v>
      </c>
      <c r="B183" s="12" t="s">
        <v>519</v>
      </c>
      <c r="C183" s="12" t="s">
        <v>520</v>
      </c>
      <c r="D183" s="12" t="s">
        <v>521</v>
      </c>
      <c r="E183" s="12" t="s">
        <v>59</v>
      </c>
      <c r="F183" s="12" t="s">
        <v>60</v>
      </c>
      <c r="G183" s="12" t="s">
        <v>530</v>
      </c>
      <c r="H183" s="15" t="s">
        <v>604</v>
      </c>
      <c r="I183" s="19" t="s">
        <v>525</v>
      </c>
      <c r="J183" s="33" t="s">
        <v>616</v>
      </c>
      <c r="K183" s="12"/>
    </row>
    <row r="184" spans="1:11" ht="27.75" customHeight="1">
      <c r="A184" s="12">
        <v>183</v>
      </c>
      <c r="B184" s="12" t="s">
        <v>519</v>
      </c>
      <c r="C184" s="12" t="s">
        <v>520</v>
      </c>
      <c r="D184" s="12" t="s">
        <v>521</v>
      </c>
      <c r="E184" s="12" t="s">
        <v>59</v>
      </c>
      <c r="F184" s="12" t="s">
        <v>60</v>
      </c>
      <c r="G184" s="12" t="s">
        <v>531</v>
      </c>
      <c r="H184" s="15" t="s">
        <v>604</v>
      </c>
      <c r="I184" s="19" t="s">
        <v>525</v>
      </c>
      <c r="J184" s="33" t="s">
        <v>616</v>
      </c>
      <c r="K184" s="12"/>
    </row>
    <row r="185" spans="1:11" ht="41.25" customHeight="1">
      <c r="A185" s="12">
        <v>184</v>
      </c>
      <c r="B185" s="12" t="s">
        <v>519</v>
      </c>
      <c r="C185" s="12" t="s">
        <v>520</v>
      </c>
      <c r="D185" s="12" t="s">
        <v>521</v>
      </c>
      <c r="E185" s="12" t="s">
        <v>65</v>
      </c>
      <c r="F185" s="12" t="s">
        <v>66</v>
      </c>
      <c r="G185" s="12" t="s">
        <v>533</v>
      </c>
      <c r="H185" s="13" t="s">
        <v>641</v>
      </c>
      <c r="I185" s="19" t="s">
        <v>525</v>
      </c>
      <c r="J185" s="33" t="s">
        <v>616</v>
      </c>
      <c r="K185" s="12"/>
    </row>
    <row r="186" spans="1:11" ht="27.75" customHeight="1">
      <c r="A186" s="12">
        <v>185</v>
      </c>
      <c r="B186" s="12" t="s">
        <v>535</v>
      </c>
      <c r="C186" s="12" t="s">
        <v>520</v>
      </c>
      <c r="D186" s="12" t="s">
        <v>536</v>
      </c>
      <c r="E186" s="12" t="s">
        <v>47</v>
      </c>
      <c r="F186" s="12" t="s">
        <v>48</v>
      </c>
      <c r="G186" s="12" t="s">
        <v>538</v>
      </c>
      <c r="H186" s="15" t="s">
        <v>604</v>
      </c>
      <c r="I186" s="19" t="s">
        <v>540</v>
      </c>
      <c r="J186" s="33" t="s">
        <v>616</v>
      </c>
      <c r="K186" s="12"/>
    </row>
    <row r="187" spans="1:11" ht="27.75" customHeight="1">
      <c r="A187" s="12">
        <v>186</v>
      </c>
      <c r="B187" s="12" t="s">
        <v>535</v>
      </c>
      <c r="C187" s="12" t="s">
        <v>520</v>
      </c>
      <c r="D187" s="12" t="s">
        <v>536</v>
      </c>
      <c r="E187" s="12" t="s">
        <v>47</v>
      </c>
      <c r="F187" s="12" t="s">
        <v>48</v>
      </c>
      <c r="G187" s="12" t="s">
        <v>541</v>
      </c>
      <c r="H187" s="15" t="s">
        <v>604</v>
      </c>
      <c r="I187" s="19" t="s">
        <v>540</v>
      </c>
      <c r="J187" s="33" t="s">
        <v>616</v>
      </c>
      <c r="K187" s="12"/>
    </row>
    <row r="188" spans="1:11" ht="27.75" customHeight="1">
      <c r="A188" s="12">
        <v>187</v>
      </c>
      <c r="B188" s="12" t="s">
        <v>535</v>
      </c>
      <c r="C188" s="12" t="s">
        <v>520</v>
      </c>
      <c r="D188" s="12" t="s">
        <v>536</v>
      </c>
      <c r="E188" s="12" t="s">
        <v>59</v>
      </c>
      <c r="F188" s="12" t="s">
        <v>60</v>
      </c>
      <c r="G188" s="12" t="s">
        <v>543</v>
      </c>
      <c r="H188" s="15" t="s">
        <v>604</v>
      </c>
      <c r="I188" s="19" t="s">
        <v>540</v>
      </c>
      <c r="J188" s="33" t="s">
        <v>616</v>
      </c>
      <c r="K188" s="12"/>
    </row>
    <row r="189" spans="1:11" ht="27.75" customHeight="1">
      <c r="A189" s="12">
        <v>188</v>
      </c>
      <c r="B189" s="12" t="s">
        <v>535</v>
      </c>
      <c r="C189" s="12" t="s">
        <v>520</v>
      </c>
      <c r="D189" s="12" t="s">
        <v>536</v>
      </c>
      <c r="E189" s="12" t="s">
        <v>59</v>
      </c>
      <c r="F189" s="12" t="s">
        <v>60</v>
      </c>
      <c r="G189" s="12" t="s">
        <v>544</v>
      </c>
      <c r="H189" s="13" t="s">
        <v>642</v>
      </c>
      <c r="I189" s="19" t="s">
        <v>540</v>
      </c>
      <c r="J189" s="33" t="s">
        <v>616</v>
      </c>
      <c r="K189" s="12"/>
    </row>
    <row r="190" spans="1:11" ht="27.75" customHeight="1">
      <c r="A190" s="12">
        <v>189</v>
      </c>
      <c r="B190" s="12" t="s">
        <v>535</v>
      </c>
      <c r="C190" s="12" t="s">
        <v>520</v>
      </c>
      <c r="D190" s="12" t="s">
        <v>536</v>
      </c>
      <c r="E190" s="12" t="s">
        <v>65</v>
      </c>
      <c r="F190" s="12" t="s">
        <v>66</v>
      </c>
      <c r="G190" s="12" t="s">
        <v>547</v>
      </c>
      <c r="H190" s="15" t="s">
        <v>604</v>
      </c>
      <c r="I190" s="19" t="s">
        <v>540</v>
      </c>
      <c r="J190" s="33" t="s">
        <v>616</v>
      </c>
      <c r="K190" s="12"/>
    </row>
    <row r="191" spans="1:11" ht="41.25" customHeight="1">
      <c r="A191" s="12">
        <v>190</v>
      </c>
      <c r="B191" s="12" t="s">
        <v>548</v>
      </c>
      <c r="C191" s="12" t="s">
        <v>520</v>
      </c>
      <c r="D191" s="12" t="s">
        <v>549</v>
      </c>
      <c r="E191" s="12" t="s">
        <v>47</v>
      </c>
      <c r="F191" s="12" t="s">
        <v>48</v>
      </c>
      <c r="G191" s="12" t="s">
        <v>551</v>
      </c>
      <c r="H191" s="13" t="s">
        <v>643</v>
      </c>
      <c r="I191" s="19" t="s">
        <v>554</v>
      </c>
      <c r="J191" s="33" t="s">
        <v>616</v>
      </c>
      <c r="K191" s="12"/>
    </row>
    <row r="192" spans="1:11" ht="27.75" customHeight="1">
      <c r="A192" s="12">
        <v>191</v>
      </c>
      <c r="B192" s="12" t="s">
        <v>548</v>
      </c>
      <c r="C192" s="12" t="s">
        <v>520</v>
      </c>
      <c r="D192" s="12" t="s">
        <v>549</v>
      </c>
      <c r="E192" s="12" t="s">
        <v>47</v>
      </c>
      <c r="F192" s="12" t="s">
        <v>48</v>
      </c>
      <c r="G192" s="12" t="s">
        <v>555</v>
      </c>
      <c r="H192" s="15" t="s">
        <v>604</v>
      </c>
      <c r="I192" s="19" t="s">
        <v>554</v>
      </c>
      <c r="J192" s="33" t="s">
        <v>616</v>
      </c>
      <c r="K192" s="12"/>
    </row>
    <row r="193" spans="1:11" ht="27.75" customHeight="1">
      <c r="A193" s="12">
        <v>192</v>
      </c>
      <c r="B193" s="12" t="s">
        <v>548</v>
      </c>
      <c r="C193" s="12" t="s">
        <v>520</v>
      </c>
      <c r="D193" s="12" t="s">
        <v>549</v>
      </c>
      <c r="E193" s="12" t="s">
        <v>47</v>
      </c>
      <c r="F193" s="12" t="s">
        <v>48</v>
      </c>
      <c r="G193" s="12" t="s">
        <v>556</v>
      </c>
      <c r="H193" s="15" t="s">
        <v>604</v>
      </c>
      <c r="I193" s="19" t="s">
        <v>554</v>
      </c>
      <c r="J193" s="33" t="s">
        <v>616</v>
      </c>
      <c r="K193" s="12"/>
    </row>
    <row r="194" spans="1:11" ht="27.75" customHeight="1">
      <c r="A194" s="12">
        <v>193</v>
      </c>
      <c r="B194" s="12" t="s">
        <v>548</v>
      </c>
      <c r="C194" s="12" t="s">
        <v>520</v>
      </c>
      <c r="D194" s="12" t="s">
        <v>549</v>
      </c>
      <c r="E194" s="12" t="s">
        <v>59</v>
      </c>
      <c r="F194" s="12" t="s">
        <v>60</v>
      </c>
      <c r="G194" s="12" t="s">
        <v>558</v>
      </c>
      <c r="H194" s="15" t="s">
        <v>604</v>
      </c>
      <c r="I194" s="19" t="s">
        <v>554</v>
      </c>
      <c r="J194" s="33" t="s">
        <v>616</v>
      </c>
      <c r="K194" s="12"/>
    </row>
    <row r="195" spans="1:11" ht="27.75" customHeight="1">
      <c r="A195" s="12">
        <v>194</v>
      </c>
      <c r="B195" s="12" t="s">
        <v>548</v>
      </c>
      <c r="C195" s="12" t="s">
        <v>520</v>
      </c>
      <c r="D195" s="12" t="s">
        <v>549</v>
      </c>
      <c r="E195" s="12" t="s">
        <v>59</v>
      </c>
      <c r="F195" s="12" t="s">
        <v>60</v>
      </c>
      <c r="G195" s="12" t="s">
        <v>559</v>
      </c>
      <c r="H195" s="15" t="s">
        <v>604</v>
      </c>
      <c r="I195" s="19" t="s">
        <v>554</v>
      </c>
      <c r="J195" s="33" t="s">
        <v>616</v>
      </c>
      <c r="K195" s="12"/>
    </row>
    <row r="196" spans="1:11" ht="27.75" customHeight="1">
      <c r="A196" s="12">
        <v>195</v>
      </c>
      <c r="B196" s="12" t="s">
        <v>548</v>
      </c>
      <c r="C196" s="12" t="s">
        <v>520</v>
      </c>
      <c r="D196" s="12" t="s">
        <v>549</v>
      </c>
      <c r="E196" s="12" t="s">
        <v>65</v>
      </c>
      <c r="F196" s="12" t="s">
        <v>66</v>
      </c>
      <c r="G196" s="12" t="s">
        <v>561</v>
      </c>
      <c r="H196" s="15" t="s">
        <v>604</v>
      </c>
      <c r="I196" s="19" t="s">
        <v>554</v>
      </c>
      <c r="J196" s="33" t="s">
        <v>616</v>
      </c>
      <c r="K196" s="12"/>
    </row>
    <row r="197" spans="1:11" ht="27.75" customHeight="1">
      <c r="A197" s="12">
        <v>196</v>
      </c>
      <c r="B197" s="12" t="s">
        <v>563</v>
      </c>
      <c r="C197" s="12" t="s">
        <v>520</v>
      </c>
      <c r="D197" s="12" t="s">
        <v>564</v>
      </c>
      <c r="E197" s="12" t="s">
        <v>47</v>
      </c>
      <c r="F197" s="12" t="s">
        <v>48</v>
      </c>
      <c r="G197" s="12" t="s">
        <v>566</v>
      </c>
      <c r="H197" s="13" t="s">
        <v>644</v>
      </c>
      <c r="I197" s="20" t="s">
        <v>299</v>
      </c>
      <c r="J197" s="33" t="s">
        <v>616</v>
      </c>
      <c r="K197" s="12"/>
    </row>
    <row r="198" spans="1:11" ht="27.75" customHeight="1">
      <c r="A198" s="12">
        <v>197</v>
      </c>
      <c r="B198" s="12" t="s">
        <v>563</v>
      </c>
      <c r="C198" s="12" t="s">
        <v>520</v>
      </c>
      <c r="D198" s="12" t="s">
        <v>564</v>
      </c>
      <c r="E198" s="12" t="s">
        <v>47</v>
      </c>
      <c r="F198" s="12" t="s">
        <v>48</v>
      </c>
      <c r="G198" s="12" t="s">
        <v>569</v>
      </c>
      <c r="H198" s="15" t="s">
        <v>604</v>
      </c>
      <c r="I198" s="19" t="s">
        <v>570</v>
      </c>
      <c r="J198" s="33" t="s">
        <v>616</v>
      </c>
      <c r="K198" s="12"/>
    </row>
    <row r="199" spans="1:11" ht="27.75" customHeight="1">
      <c r="A199" s="12">
        <v>198</v>
      </c>
      <c r="B199" s="12" t="s">
        <v>563</v>
      </c>
      <c r="C199" s="12" t="s">
        <v>520</v>
      </c>
      <c r="D199" s="12" t="s">
        <v>564</v>
      </c>
      <c r="E199" s="12" t="s">
        <v>59</v>
      </c>
      <c r="F199" s="12" t="s">
        <v>60</v>
      </c>
      <c r="G199" s="12" t="s">
        <v>572</v>
      </c>
      <c r="H199" s="15" t="s">
        <v>604</v>
      </c>
      <c r="I199" s="19" t="s">
        <v>570</v>
      </c>
      <c r="J199" s="33" t="s">
        <v>616</v>
      </c>
      <c r="K199" s="12"/>
    </row>
    <row r="200" spans="1:11" ht="27.75" customHeight="1">
      <c r="A200" s="12">
        <v>199</v>
      </c>
      <c r="B200" s="12" t="s">
        <v>563</v>
      </c>
      <c r="C200" s="12" t="s">
        <v>520</v>
      </c>
      <c r="D200" s="12" t="s">
        <v>564</v>
      </c>
      <c r="E200" s="12" t="s">
        <v>59</v>
      </c>
      <c r="F200" s="12" t="s">
        <v>60</v>
      </c>
      <c r="G200" s="12" t="s">
        <v>573</v>
      </c>
      <c r="H200" s="15" t="s">
        <v>604</v>
      </c>
      <c r="I200" s="19" t="s">
        <v>570</v>
      </c>
      <c r="J200" s="33" t="s">
        <v>616</v>
      </c>
      <c r="K200" s="12"/>
    </row>
    <row r="201" spans="1:11" ht="27.75" customHeight="1">
      <c r="A201" s="12">
        <v>200</v>
      </c>
      <c r="B201" s="12" t="s">
        <v>563</v>
      </c>
      <c r="C201" s="12" t="s">
        <v>520</v>
      </c>
      <c r="D201" s="12" t="s">
        <v>564</v>
      </c>
      <c r="E201" s="12" t="s">
        <v>65</v>
      </c>
      <c r="F201" s="12" t="s">
        <v>66</v>
      </c>
      <c r="G201" s="12" t="s">
        <v>575</v>
      </c>
      <c r="H201" s="15" t="s">
        <v>604</v>
      </c>
      <c r="I201" s="19" t="s">
        <v>570</v>
      </c>
      <c r="J201" s="33" t="s">
        <v>616</v>
      </c>
      <c r="K201" s="12"/>
    </row>
    <row r="202" spans="1:11" ht="41.25" customHeight="1">
      <c r="A202" s="12">
        <v>201</v>
      </c>
      <c r="B202" s="12" t="s">
        <v>576</v>
      </c>
      <c r="C202" s="12" t="s">
        <v>577</v>
      </c>
      <c r="D202" s="12" t="s">
        <v>578</v>
      </c>
      <c r="E202" s="12" t="s">
        <v>51</v>
      </c>
      <c r="F202" s="12" t="s">
        <v>48</v>
      </c>
      <c r="G202" s="12" t="s">
        <v>579</v>
      </c>
      <c r="H202" s="13" t="s">
        <v>645</v>
      </c>
      <c r="I202" s="20" t="s">
        <v>299</v>
      </c>
      <c r="J202" s="33" t="s">
        <v>616</v>
      </c>
      <c r="K202" s="12"/>
    </row>
    <row r="203" spans="1:11" ht="27.75" customHeight="1">
      <c r="A203" s="12">
        <v>202</v>
      </c>
      <c r="B203" s="12" t="s">
        <v>582</v>
      </c>
      <c r="C203" s="12" t="s">
        <v>577</v>
      </c>
      <c r="D203" s="12" t="s">
        <v>583</v>
      </c>
      <c r="E203" s="12" t="s">
        <v>51</v>
      </c>
      <c r="F203" s="12" t="s">
        <v>48</v>
      </c>
      <c r="G203" s="12" t="s">
        <v>584</v>
      </c>
      <c r="H203" s="13" t="s">
        <v>646</v>
      </c>
      <c r="I203" s="20" t="s">
        <v>299</v>
      </c>
      <c r="J203" s="33" t="s">
        <v>616</v>
      </c>
      <c r="K203" s="12"/>
    </row>
    <row r="204" spans="1:11" ht="27.75" customHeight="1">
      <c r="A204" s="12">
        <v>203</v>
      </c>
      <c r="B204" s="12" t="s">
        <v>586</v>
      </c>
      <c r="C204" s="12" t="s">
        <v>577</v>
      </c>
      <c r="D204" s="12" t="s">
        <v>587</v>
      </c>
      <c r="E204" s="12" t="s">
        <v>51</v>
      </c>
      <c r="F204" s="12" t="s">
        <v>48</v>
      </c>
      <c r="G204" s="12" t="s">
        <v>588</v>
      </c>
      <c r="H204" s="13" t="s">
        <v>647</v>
      </c>
      <c r="I204" s="20" t="s">
        <v>299</v>
      </c>
      <c r="J204" s="33" t="s">
        <v>616</v>
      </c>
      <c r="K204" s="12"/>
    </row>
    <row r="205" spans="1:11" ht="27.75" customHeight="1">
      <c r="A205" s="12">
        <v>204</v>
      </c>
      <c r="B205" s="12" t="s">
        <v>590</v>
      </c>
      <c r="C205" s="12" t="s">
        <v>577</v>
      </c>
      <c r="D205" s="12" t="s">
        <v>591</v>
      </c>
      <c r="E205" s="12" t="s">
        <v>51</v>
      </c>
      <c r="F205" s="12" t="s">
        <v>48</v>
      </c>
      <c r="G205" s="12" t="s">
        <v>592</v>
      </c>
      <c r="H205" s="13" t="s">
        <v>648</v>
      </c>
      <c r="I205" s="20" t="s">
        <v>299</v>
      </c>
      <c r="J205" s="33" t="s">
        <v>616</v>
      </c>
      <c r="K205" s="12"/>
    </row>
    <row r="206" spans="1:11" ht="27.75" customHeight="1">
      <c r="A206" s="12">
        <v>205</v>
      </c>
      <c r="B206" s="12" t="s">
        <v>594</v>
      </c>
      <c r="C206" s="12" t="s">
        <v>577</v>
      </c>
      <c r="D206" s="12" t="s">
        <v>595</v>
      </c>
      <c r="E206" s="12" t="s">
        <v>51</v>
      </c>
      <c r="F206" s="12" t="s">
        <v>48</v>
      </c>
      <c r="G206" s="12" t="s">
        <v>596</v>
      </c>
      <c r="H206" s="13" t="s">
        <v>649</v>
      </c>
      <c r="I206" s="20" t="s">
        <v>299</v>
      </c>
      <c r="J206" s="33" t="s">
        <v>616</v>
      </c>
      <c r="K206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customWidth="1"/>
    <col min="2" max="2" width="8" customWidth="1"/>
    <col min="3" max="3" width="42" customWidth="1"/>
    <col min="4" max="5" width="70" customWidth="1"/>
    <col min="6" max="6" width="22" customWidth="1"/>
    <col min="7" max="7" width="26" customWidth="1"/>
    <col min="8" max="8" width="16" customWidth="1"/>
    <col min="9" max="9" width="12" customWidth="1"/>
    <col min="11" max="11" width="3" customWidth="1"/>
    <col min="12" max="12" width="12" customWidth="1"/>
    <col min="13" max="13" width="72" customWidth="1"/>
  </cols>
  <sheetData>
    <row r="1" spans="1:13" ht="27.75" customHeight="1">
      <c r="A1" s="31" t="s">
        <v>26</v>
      </c>
      <c r="B1" s="31" t="s">
        <v>650</v>
      </c>
      <c r="C1" s="31" t="s">
        <v>651</v>
      </c>
      <c r="D1" s="31" t="s">
        <v>652</v>
      </c>
      <c r="E1" s="31" t="s">
        <v>30</v>
      </c>
      <c r="F1" s="31" t="s">
        <v>653</v>
      </c>
      <c r="G1" s="31" t="s">
        <v>654</v>
      </c>
      <c r="H1" s="31" t="s">
        <v>655</v>
      </c>
      <c r="I1" s="31" t="s">
        <v>656</v>
      </c>
      <c r="J1" s="31" t="s">
        <v>657</v>
      </c>
      <c r="L1" s="63" t="s">
        <v>658</v>
      </c>
      <c r="M1" s="63"/>
    </row>
    <row r="2" spans="1:13" ht="51.75" customHeight="1">
      <c r="A2" s="12">
        <v>1</v>
      </c>
      <c r="B2" s="35" t="s">
        <v>659</v>
      </c>
      <c r="C2" s="12" t="s">
        <v>660</v>
      </c>
      <c r="D2" s="12" t="s">
        <v>661</v>
      </c>
      <c r="E2" s="12" t="s">
        <v>662</v>
      </c>
      <c r="F2" s="12">
        <v>5</v>
      </c>
      <c r="G2" s="12" t="s">
        <v>131</v>
      </c>
      <c r="H2" s="12" t="s">
        <v>44</v>
      </c>
      <c r="I2" s="12" t="s">
        <v>51</v>
      </c>
      <c r="J2" s="12" t="s">
        <v>663</v>
      </c>
      <c r="L2" s="36" t="s">
        <v>662</v>
      </c>
      <c r="M2" s="37" t="s">
        <v>664</v>
      </c>
    </row>
    <row r="3" spans="1:13" ht="51.75" customHeight="1">
      <c r="A3" s="12">
        <v>2</v>
      </c>
      <c r="B3" s="35" t="s">
        <v>659</v>
      </c>
      <c r="C3" s="12" t="s">
        <v>665</v>
      </c>
      <c r="D3" s="12" t="s">
        <v>666</v>
      </c>
      <c r="E3" s="12" t="s">
        <v>46</v>
      </c>
      <c r="F3" s="12">
        <v>5</v>
      </c>
      <c r="G3" s="12" t="s">
        <v>145</v>
      </c>
      <c r="H3" s="12" t="s">
        <v>44</v>
      </c>
      <c r="I3" s="13" t="s">
        <v>667</v>
      </c>
      <c r="J3" s="12" t="s">
        <v>663</v>
      </c>
      <c r="L3" s="38" t="s">
        <v>46</v>
      </c>
      <c r="M3" s="37" t="s">
        <v>668</v>
      </c>
    </row>
    <row r="4" spans="1:13" ht="51.75" customHeight="1">
      <c r="A4" s="12">
        <v>3</v>
      </c>
      <c r="B4" s="35" t="s">
        <v>659</v>
      </c>
      <c r="C4" s="12" t="s">
        <v>669</v>
      </c>
      <c r="D4" s="12" t="s">
        <v>670</v>
      </c>
      <c r="E4" s="12" t="s">
        <v>671</v>
      </c>
      <c r="F4" s="12">
        <v>20</v>
      </c>
      <c r="G4" s="12" t="s">
        <v>672</v>
      </c>
      <c r="H4" s="12" t="s">
        <v>673</v>
      </c>
      <c r="I4" s="12" t="s">
        <v>51</v>
      </c>
      <c r="J4" s="12" t="s">
        <v>663</v>
      </c>
      <c r="L4" s="39" t="s">
        <v>671</v>
      </c>
      <c r="M4" s="37" t="s">
        <v>674</v>
      </c>
    </row>
    <row r="5" spans="1:13" ht="51.75" customHeight="1">
      <c r="A5" s="12">
        <v>4</v>
      </c>
      <c r="B5" s="40" t="s">
        <v>675</v>
      </c>
      <c r="C5" s="12" t="s">
        <v>676</v>
      </c>
      <c r="D5" s="12" t="s">
        <v>677</v>
      </c>
      <c r="E5" s="12" t="s">
        <v>678</v>
      </c>
      <c r="F5" s="12">
        <v>3</v>
      </c>
      <c r="G5" s="12" t="s">
        <v>679</v>
      </c>
      <c r="H5" s="12" t="s">
        <v>680</v>
      </c>
      <c r="I5" s="12" t="s">
        <v>51</v>
      </c>
      <c r="J5" s="12" t="s">
        <v>663</v>
      </c>
      <c r="L5" s="41" t="s">
        <v>678</v>
      </c>
      <c r="M5" s="37" t="s">
        <v>681</v>
      </c>
    </row>
    <row r="6" spans="1:13" ht="27.75" customHeight="1">
      <c r="A6" s="12">
        <v>5</v>
      </c>
      <c r="B6" s="40" t="s">
        <v>675</v>
      </c>
      <c r="C6" s="12" t="s">
        <v>682</v>
      </c>
      <c r="D6" s="12" t="s">
        <v>683</v>
      </c>
      <c r="E6" s="12" t="s">
        <v>678</v>
      </c>
      <c r="F6" s="12">
        <v>8</v>
      </c>
      <c r="G6" s="12" t="s">
        <v>684</v>
      </c>
      <c r="H6" s="12" t="s">
        <v>685</v>
      </c>
      <c r="I6" s="13" t="s">
        <v>667</v>
      </c>
      <c r="J6" s="12" t="s">
        <v>663</v>
      </c>
    </row>
    <row r="7" spans="1:13" ht="27.75" customHeight="1">
      <c r="A7" s="12">
        <v>6</v>
      </c>
      <c r="B7" s="40" t="s">
        <v>675</v>
      </c>
      <c r="C7" s="12" t="s">
        <v>686</v>
      </c>
      <c r="D7" s="12" t="s">
        <v>687</v>
      </c>
      <c r="E7" s="12" t="s">
        <v>46</v>
      </c>
      <c r="F7" s="12">
        <v>9</v>
      </c>
      <c r="G7" s="12" t="s">
        <v>688</v>
      </c>
      <c r="H7" s="12" t="s">
        <v>689</v>
      </c>
      <c r="I7" s="13" t="s">
        <v>667</v>
      </c>
      <c r="J7" s="12" t="s">
        <v>663</v>
      </c>
    </row>
    <row r="8" spans="1:13" ht="15" customHeight="1">
      <c r="A8" s="12">
        <v>7</v>
      </c>
      <c r="B8" s="40" t="s">
        <v>675</v>
      </c>
      <c r="C8" s="12" t="s">
        <v>690</v>
      </c>
      <c r="D8" s="12" t="s">
        <v>691</v>
      </c>
      <c r="E8" s="12" t="s">
        <v>46</v>
      </c>
      <c r="F8" s="12">
        <v>6</v>
      </c>
      <c r="G8" s="12" t="s">
        <v>245</v>
      </c>
      <c r="H8" s="12" t="s">
        <v>184</v>
      </c>
      <c r="I8" s="12" t="s">
        <v>51</v>
      </c>
      <c r="J8" s="12" t="s">
        <v>663</v>
      </c>
    </row>
    <row r="9" spans="1:13" ht="27.75" customHeight="1">
      <c r="A9" s="12">
        <v>8</v>
      </c>
      <c r="B9" s="42" t="s">
        <v>692</v>
      </c>
      <c r="C9" s="12" t="s">
        <v>693</v>
      </c>
      <c r="D9" s="12" t="s">
        <v>694</v>
      </c>
      <c r="E9" s="12" t="s">
        <v>46</v>
      </c>
      <c r="F9" s="12">
        <v>10</v>
      </c>
      <c r="G9" s="12" t="s">
        <v>695</v>
      </c>
      <c r="H9" s="12" t="s">
        <v>696</v>
      </c>
      <c r="I9" s="12" t="s">
        <v>51</v>
      </c>
      <c r="J9" s="12" t="s">
        <v>663</v>
      </c>
    </row>
    <row r="10" spans="1:13" ht="15" customHeight="1">
      <c r="A10" s="12">
        <v>9</v>
      </c>
      <c r="B10" s="42" t="s">
        <v>692</v>
      </c>
      <c r="C10" s="12" t="s">
        <v>697</v>
      </c>
      <c r="D10" s="12" t="s">
        <v>698</v>
      </c>
      <c r="E10" s="12" t="s">
        <v>46</v>
      </c>
      <c r="F10" s="12">
        <v>6</v>
      </c>
      <c r="G10" s="12" t="s">
        <v>203</v>
      </c>
      <c r="H10" s="12" t="s">
        <v>184</v>
      </c>
      <c r="I10" s="13" t="s">
        <v>667</v>
      </c>
      <c r="J10" s="12" t="s">
        <v>663</v>
      </c>
    </row>
    <row r="11" spans="1:13" ht="15" customHeight="1">
      <c r="A11" s="12">
        <v>10</v>
      </c>
      <c r="B11" s="42" t="s">
        <v>692</v>
      </c>
      <c r="C11" s="12" t="s">
        <v>699</v>
      </c>
      <c r="D11" s="12" t="s">
        <v>700</v>
      </c>
      <c r="E11" s="12" t="s">
        <v>46</v>
      </c>
      <c r="F11" s="12">
        <v>5</v>
      </c>
      <c r="G11" s="12" t="s">
        <v>375</v>
      </c>
      <c r="H11" s="12" t="s">
        <v>336</v>
      </c>
      <c r="I11" s="12" t="s">
        <v>51</v>
      </c>
      <c r="J11" s="12" t="s">
        <v>663</v>
      </c>
    </row>
    <row r="12" spans="1:13" ht="15" customHeight="1">
      <c r="A12" s="12">
        <v>11</v>
      </c>
      <c r="B12" s="42" t="s">
        <v>692</v>
      </c>
      <c r="C12" s="12" t="s">
        <v>701</v>
      </c>
      <c r="D12" s="12" t="s">
        <v>702</v>
      </c>
      <c r="E12" s="12" t="s">
        <v>46</v>
      </c>
      <c r="F12" s="12">
        <v>5</v>
      </c>
      <c r="G12" s="12" t="s">
        <v>218</v>
      </c>
      <c r="H12" s="12" t="s">
        <v>184</v>
      </c>
      <c r="I12" s="12" t="s">
        <v>51</v>
      </c>
      <c r="J12" s="12" t="s">
        <v>663</v>
      </c>
    </row>
    <row r="13" spans="1:13" ht="15" customHeight="1">
      <c r="A13" s="12">
        <v>12</v>
      </c>
      <c r="B13" s="42" t="s">
        <v>692</v>
      </c>
      <c r="C13" s="12" t="s">
        <v>703</v>
      </c>
      <c r="D13" s="12" t="s">
        <v>704</v>
      </c>
      <c r="E13" s="12" t="s">
        <v>46</v>
      </c>
      <c r="F13" s="12">
        <v>5</v>
      </c>
      <c r="G13" s="12" t="s">
        <v>259</v>
      </c>
      <c r="H13" s="12" t="s">
        <v>260</v>
      </c>
      <c r="I13" s="12" t="s">
        <v>51</v>
      </c>
      <c r="J13" s="12" t="s">
        <v>663</v>
      </c>
    </row>
    <row r="14" spans="1:13" ht="15" customHeight="1">
      <c r="A14" s="12">
        <v>13</v>
      </c>
      <c r="B14" s="42" t="s">
        <v>692</v>
      </c>
      <c r="C14" s="12" t="s">
        <v>705</v>
      </c>
      <c r="D14" s="12" t="s">
        <v>706</v>
      </c>
      <c r="E14" s="12" t="s">
        <v>46</v>
      </c>
      <c r="F14" s="12">
        <v>5</v>
      </c>
      <c r="G14" s="12" t="s">
        <v>305</v>
      </c>
      <c r="H14" s="12" t="s">
        <v>260</v>
      </c>
      <c r="I14" s="12" t="s">
        <v>51</v>
      </c>
      <c r="J14" s="12" t="s">
        <v>663</v>
      </c>
    </row>
    <row r="15" spans="1:13" ht="27.75" customHeight="1">
      <c r="A15" s="12">
        <v>14</v>
      </c>
      <c r="B15" s="43" t="s">
        <v>707</v>
      </c>
      <c r="C15" s="12" t="s">
        <v>708</v>
      </c>
      <c r="D15" s="12" t="s">
        <v>709</v>
      </c>
      <c r="E15" s="12" t="s">
        <v>46</v>
      </c>
      <c r="F15" s="12">
        <v>7</v>
      </c>
      <c r="G15" s="12" t="s">
        <v>710</v>
      </c>
      <c r="H15" s="12" t="s">
        <v>689</v>
      </c>
      <c r="I15" s="13" t="s">
        <v>667</v>
      </c>
      <c r="J15" s="12" t="s">
        <v>663</v>
      </c>
    </row>
    <row r="16" spans="1:13" ht="15" customHeight="1">
      <c r="A16" s="12">
        <v>15</v>
      </c>
      <c r="B16" s="43" t="s">
        <v>707</v>
      </c>
      <c r="C16" s="12" t="s">
        <v>711</v>
      </c>
      <c r="D16" s="12" t="s">
        <v>712</v>
      </c>
      <c r="E16" s="12" t="s">
        <v>46</v>
      </c>
      <c r="F16" s="12">
        <v>5</v>
      </c>
      <c r="G16" s="12" t="s">
        <v>350</v>
      </c>
      <c r="H16" s="12" t="s">
        <v>336</v>
      </c>
      <c r="I16" s="12" t="s">
        <v>51</v>
      </c>
      <c r="J16" s="12" t="s">
        <v>663</v>
      </c>
    </row>
    <row r="17" spans="1:10" ht="15" customHeight="1">
      <c r="A17" s="12">
        <v>16</v>
      </c>
      <c r="B17" s="43" t="s">
        <v>707</v>
      </c>
      <c r="C17" s="12" t="s">
        <v>713</v>
      </c>
      <c r="D17" s="12" t="s">
        <v>714</v>
      </c>
      <c r="E17" s="12" t="s">
        <v>46</v>
      </c>
      <c r="F17" s="12">
        <v>4</v>
      </c>
      <c r="G17" s="12" t="s">
        <v>361</v>
      </c>
      <c r="H17" s="12" t="s">
        <v>336</v>
      </c>
      <c r="I17" s="12" t="s">
        <v>51</v>
      </c>
      <c r="J17" s="12" t="s">
        <v>663</v>
      </c>
    </row>
    <row r="18" spans="1:10" ht="27.75" customHeight="1">
      <c r="A18" s="12">
        <v>17</v>
      </c>
      <c r="B18" s="43" t="s">
        <v>707</v>
      </c>
      <c r="C18" s="12" t="s">
        <v>715</v>
      </c>
      <c r="D18" s="12" t="s">
        <v>716</v>
      </c>
      <c r="E18" s="12" t="s">
        <v>46</v>
      </c>
      <c r="F18" s="12">
        <v>6</v>
      </c>
      <c r="G18" s="12" t="s">
        <v>717</v>
      </c>
      <c r="H18" s="12" t="s">
        <v>718</v>
      </c>
      <c r="I18" s="13" t="s">
        <v>667</v>
      </c>
      <c r="J18" s="12" t="s">
        <v>663</v>
      </c>
    </row>
    <row r="19" spans="1:10" ht="27.75" customHeight="1">
      <c r="A19" s="12">
        <v>18</v>
      </c>
      <c r="B19" s="43" t="s">
        <v>707</v>
      </c>
      <c r="C19" s="12" t="s">
        <v>719</v>
      </c>
      <c r="D19" s="12" t="s">
        <v>720</v>
      </c>
      <c r="E19" s="12" t="s">
        <v>46</v>
      </c>
      <c r="F19" s="12">
        <v>6</v>
      </c>
      <c r="G19" s="12" t="s">
        <v>721</v>
      </c>
      <c r="H19" s="12" t="s">
        <v>722</v>
      </c>
      <c r="I19" s="12" t="s">
        <v>51</v>
      </c>
      <c r="J19" s="12" t="s">
        <v>663</v>
      </c>
    </row>
    <row r="20" spans="1:10" ht="15" customHeight="1">
      <c r="A20" s="12">
        <v>19</v>
      </c>
      <c r="B20" s="43" t="s">
        <v>707</v>
      </c>
      <c r="C20" s="12" t="s">
        <v>723</v>
      </c>
      <c r="D20" s="12" t="s">
        <v>724</v>
      </c>
      <c r="E20" s="12" t="s">
        <v>46</v>
      </c>
      <c r="F20" s="12">
        <v>5</v>
      </c>
      <c r="G20" s="12" t="s">
        <v>43</v>
      </c>
      <c r="H20" s="12" t="s">
        <v>44</v>
      </c>
      <c r="I20" s="13" t="s">
        <v>667</v>
      </c>
      <c r="J20" s="12" t="s">
        <v>663</v>
      </c>
    </row>
    <row r="21" spans="1:10" ht="15" customHeight="1">
      <c r="A21" s="12">
        <v>20</v>
      </c>
      <c r="B21" s="43" t="s">
        <v>707</v>
      </c>
      <c r="C21" s="12" t="s">
        <v>725</v>
      </c>
      <c r="D21" s="12" t="s">
        <v>726</v>
      </c>
      <c r="E21" s="12" t="s">
        <v>46</v>
      </c>
      <c r="F21" s="12">
        <v>5</v>
      </c>
      <c r="G21" s="12" t="s">
        <v>70</v>
      </c>
      <c r="H21" s="12" t="s">
        <v>44</v>
      </c>
      <c r="I21" s="13" t="s">
        <v>667</v>
      </c>
      <c r="J21" s="12" t="s">
        <v>663</v>
      </c>
    </row>
    <row r="22" spans="1:10" ht="15" customHeight="1">
      <c r="A22" s="12">
        <v>21</v>
      </c>
      <c r="B22" s="43" t="s">
        <v>707</v>
      </c>
      <c r="C22" s="12" t="s">
        <v>727</v>
      </c>
      <c r="D22" s="12" t="s">
        <v>728</v>
      </c>
      <c r="E22" s="12" t="s">
        <v>46</v>
      </c>
      <c r="F22" s="12">
        <v>5</v>
      </c>
      <c r="G22" s="12" t="s">
        <v>82</v>
      </c>
      <c r="H22" s="12" t="s">
        <v>44</v>
      </c>
      <c r="I22" s="12" t="s">
        <v>51</v>
      </c>
      <c r="J22" s="12" t="s">
        <v>663</v>
      </c>
    </row>
    <row r="23" spans="1:10" ht="15" customHeight="1">
      <c r="A23" s="12">
        <v>22</v>
      </c>
      <c r="B23" s="43" t="s">
        <v>707</v>
      </c>
      <c r="C23" s="12" t="s">
        <v>729</v>
      </c>
      <c r="D23" s="12" t="s">
        <v>730</v>
      </c>
      <c r="E23" s="12" t="s">
        <v>46</v>
      </c>
      <c r="F23" s="12">
        <v>5</v>
      </c>
      <c r="G23" s="12" t="s">
        <v>93</v>
      </c>
      <c r="H23" s="12" t="s">
        <v>44</v>
      </c>
      <c r="I23" s="13" t="s">
        <v>667</v>
      </c>
      <c r="J23" s="12" t="s">
        <v>663</v>
      </c>
    </row>
    <row r="24" spans="1:10" ht="15" customHeight="1">
      <c r="A24" s="12">
        <v>23</v>
      </c>
      <c r="B24" s="43" t="s">
        <v>707</v>
      </c>
      <c r="C24" s="12" t="s">
        <v>731</v>
      </c>
      <c r="D24" s="12" t="s">
        <v>732</v>
      </c>
      <c r="E24" s="12" t="s">
        <v>46</v>
      </c>
      <c r="F24" s="12">
        <v>6</v>
      </c>
      <c r="G24" s="12" t="s">
        <v>424</v>
      </c>
      <c r="H24" s="12" t="s">
        <v>399</v>
      </c>
      <c r="I24" s="13" t="s">
        <v>667</v>
      </c>
      <c r="J24" s="12" t="s">
        <v>663</v>
      </c>
    </row>
    <row r="25" spans="1:10" ht="15" customHeight="1">
      <c r="A25" s="12">
        <v>24</v>
      </c>
      <c r="B25" s="44" t="s">
        <v>733</v>
      </c>
      <c r="C25" s="12" t="s">
        <v>734</v>
      </c>
      <c r="D25" s="12" t="s">
        <v>735</v>
      </c>
      <c r="E25" s="12" t="s">
        <v>46</v>
      </c>
      <c r="F25" s="12">
        <v>5</v>
      </c>
      <c r="G25" s="12" t="s">
        <v>466</v>
      </c>
      <c r="H25" s="12" t="s">
        <v>467</v>
      </c>
      <c r="I25" s="12" t="s">
        <v>51</v>
      </c>
      <c r="J25" s="12" t="s">
        <v>663</v>
      </c>
    </row>
    <row r="26" spans="1:10" ht="15" customHeight="1">
      <c r="A26" s="12">
        <v>25</v>
      </c>
      <c r="B26" s="44" t="s">
        <v>733</v>
      </c>
      <c r="C26" s="12" t="s">
        <v>736</v>
      </c>
      <c r="D26" s="12" t="s">
        <v>737</v>
      </c>
      <c r="E26" s="12" t="s">
        <v>46</v>
      </c>
      <c r="F26" s="12">
        <v>5</v>
      </c>
      <c r="G26" s="12" t="s">
        <v>481</v>
      </c>
      <c r="H26" s="12" t="s">
        <v>467</v>
      </c>
      <c r="I26" s="13" t="s">
        <v>667</v>
      </c>
      <c r="J26" s="12" t="s">
        <v>663</v>
      </c>
    </row>
    <row r="27" spans="1:10" ht="15" customHeight="1">
      <c r="A27" s="12">
        <v>26</v>
      </c>
      <c r="B27" s="44" t="s">
        <v>733</v>
      </c>
      <c r="C27" s="12" t="s">
        <v>738</v>
      </c>
      <c r="D27" s="12" t="s">
        <v>739</v>
      </c>
      <c r="E27" s="12" t="s">
        <v>46</v>
      </c>
      <c r="F27" s="12">
        <v>5</v>
      </c>
      <c r="G27" s="12" t="s">
        <v>494</v>
      </c>
      <c r="H27" s="12" t="s">
        <v>467</v>
      </c>
      <c r="I27" s="12" t="s">
        <v>51</v>
      </c>
      <c r="J27" s="12" t="s">
        <v>663</v>
      </c>
    </row>
    <row r="28" spans="1:10" ht="15" customHeight="1">
      <c r="A28" s="12">
        <v>27</v>
      </c>
      <c r="B28" s="44" t="s">
        <v>733</v>
      </c>
      <c r="C28" s="12" t="s">
        <v>740</v>
      </c>
      <c r="D28" s="12" t="s">
        <v>741</v>
      </c>
      <c r="E28" s="12" t="s">
        <v>46</v>
      </c>
      <c r="F28" s="12">
        <v>3</v>
      </c>
      <c r="G28" s="12" t="s">
        <v>506</v>
      </c>
      <c r="H28" s="12" t="s">
        <v>467</v>
      </c>
      <c r="I28" s="12" t="s">
        <v>51</v>
      </c>
      <c r="J28" s="12" t="s">
        <v>663</v>
      </c>
    </row>
    <row r="29" spans="1:10" ht="15" customHeight="1">
      <c r="A29" s="12">
        <v>28</v>
      </c>
      <c r="B29" s="44" t="s">
        <v>733</v>
      </c>
      <c r="C29" s="12" t="s">
        <v>742</v>
      </c>
      <c r="D29" s="12" t="s">
        <v>743</v>
      </c>
      <c r="E29" s="12" t="s">
        <v>46</v>
      </c>
      <c r="F29" s="12">
        <v>6</v>
      </c>
      <c r="G29" s="12" t="s">
        <v>519</v>
      </c>
      <c r="H29" s="12" t="s">
        <v>520</v>
      </c>
      <c r="I29" s="13" t="s">
        <v>667</v>
      </c>
      <c r="J29" s="12" t="s">
        <v>663</v>
      </c>
    </row>
    <row r="30" spans="1:10" ht="15" customHeight="1">
      <c r="A30" s="12">
        <v>29</v>
      </c>
      <c r="B30" s="44" t="s">
        <v>733</v>
      </c>
      <c r="C30" s="12" t="s">
        <v>744</v>
      </c>
      <c r="D30" s="12" t="s">
        <v>745</v>
      </c>
      <c r="E30" s="12" t="s">
        <v>46</v>
      </c>
      <c r="F30" s="12">
        <v>5</v>
      </c>
      <c r="G30" s="12" t="s">
        <v>535</v>
      </c>
      <c r="H30" s="12" t="s">
        <v>520</v>
      </c>
      <c r="I30" s="12" t="s">
        <v>51</v>
      </c>
      <c r="J30" s="12" t="s">
        <v>663</v>
      </c>
    </row>
    <row r="31" spans="1:10" ht="15" customHeight="1">
      <c r="A31" s="12">
        <v>30</v>
      </c>
      <c r="B31" s="44" t="s">
        <v>733</v>
      </c>
      <c r="C31" s="12" t="s">
        <v>746</v>
      </c>
      <c r="D31" s="12" t="s">
        <v>747</v>
      </c>
      <c r="E31" s="12" t="s">
        <v>46</v>
      </c>
      <c r="F31" s="12">
        <v>6</v>
      </c>
      <c r="G31" s="12" t="s">
        <v>548</v>
      </c>
      <c r="H31" s="12" t="s">
        <v>520</v>
      </c>
      <c r="I31" s="12" t="s">
        <v>51</v>
      </c>
      <c r="J31" s="12" t="s">
        <v>663</v>
      </c>
    </row>
    <row r="32" spans="1:10" ht="15" customHeight="1">
      <c r="A32" s="12">
        <v>31</v>
      </c>
      <c r="B32" s="44" t="s">
        <v>733</v>
      </c>
      <c r="C32" s="12" t="s">
        <v>748</v>
      </c>
      <c r="D32" s="12" t="s">
        <v>749</v>
      </c>
      <c r="E32" s="12" t="s">
        <v>46</v>
      </c>
      <c r="F32" s="12">
        <v>4</v>
      </c>
      <c r="G32" s="12" t="s">
        <v>563</v>
      </c>
      <c r="H32" s="12" t="s">
        <v>520</v>
      </c>
      <c r="I32" s="12" t="s">
        <v>51</v>
      </c>
      <c r="J32" s="12" t="s">
        <v>663</v>
      </c>
    </row>
    <row r="33" spans="1:10" ht="15" customHeight="1">
      <c r="A33" s="12">
        <v>32</v>
      </c>
      <c r="B33" s="44" t="s">
        <v>733</v>
      </c>
      <c r="C33" s="12" t="s">
        <v>750</v>
      </c>
      <c r="D33" s="12" t="s">
        <v>751</v>
      </c>
      <c r="E33" s="12" t="s">
        <v>46</v>
      </c>
      <c r="F33" s="12">
        <v>5</v>
      </c>
      <c r="G33" s="12" t="s">
        <v>107</v>
      </c>
      <c r="H33" s="12" t="s">
        <v>44</v>
      </c>
      <c r="I33" s="13" t="s">
        <v>667</v>
      </c>
      <c r="J33" s="12" t="s">
        <v>663</v>
      </c>
    </row>
    <row r="34" spans="1:10" ht="15" customHeight="1">
      <c r="A34" s="12">
        <v>33</v>
      </c>
      <c r="B34" s="44" t="s">
        <v>733</v>
      </c>
      <c r="C34" s="12" t="s">
        <v>752</v>
      </c>
      <c r="D34" s="12" t="s">
        <v>753</v>
      </c>
      <c r="E34" s="12" t="s">
        <v>46</v>
      </c>
      <c r="F34" s="12">
        <v>5</v>
      </c>
      <c r="G34" s="12" t="s">
        <v>119</v>
      </c>
      <c r="H34" s="12" t="s">
        <v>44</v>
      </c>
      <c r="I34" s="13" t="s">
        <v>667</v>
      </c>
      <c r="J34" s="12" t="s">
        <v>663</v>
      </c>
    </row>
    <row r="35" spans="1:10" ht="15" customHeight="1">
      <c r="A35" s="12">
        <v>34</v>
      </c>
      <c r="B35" s="44" t="s">
        <v>733</v>
      </c>
      <c r="C35" s="12" t="s">
        <v>754</v>
      </c>
      <c r="D35" s="12" t="s">
        <v>755</v>
      </c>
      <c r="E35" s="12" t="s">
        <v>46</v>
      </c>
      <c r="F35" s="12">
        <v>5</v>
      </c>
      <c r="G35" s="12" t="s">
        <v>159</v>
      </c>
      <c r="H35" s="12" t="s">
        <v>44</v>
      </c>
      <c r="I35" s="12" t="s">
        <v>51</v>
      </c>
      <c r="J35" s="12" t="s">
        <v>663</v>
      </c>
    </row>
    <row r="36" spans="1:10" ht="15" customHeight="1">
      <c r="A36" s="12">
        <v>35</v>
      </c>
      <c r="B36" s="44" t="s">
        <v>733</v>
      </c>
      <c r="C36" s="12" t="s">
        <v>756</v>
      </c>
      <c r="D36" s="12" t="s">
        <v>757</v>
      </c>
      <c r="E36" s="12" t="s">
        <v>46</v>
      </c>
      <c r="F36" s="12">
        <v>5</v>
      </c>
      <c r="G36" s="12" t="s">
        <v>170</v>
      </c>
      <c r="H36" s="12" t="s">
        <v>44</v>
      </c>
      <c r="I36" s="12" t="s">
        <v>51</v>
      </c>
      <c r="J36" s="12" t="s">
        <v>663</v>
      </c>
    </row>
    <row r="37" spans="1:10" ht="15" customHeight="1">
      <c r="C37" s="45" t="s">
        <v>758</v>
      </c>
      <c r="E37" s="45"/>
      <c r="F37" s="45">
        <f>SUM(F2:F36)</f>
        <v>205</v>
      </c>
    </row>
  </sheetData>
  <mergeCells count="1">
    <mergeCell ref="L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/>
  </sheetViews>
  <sheetFormatPr defaultColWidth="8.7109375" defaultRowHeight="15"/>
  <cols>
    <col min="1" max="1" width="30" customWidth="1"/>
    <col min="2" max="2" width="14" customWidth="1"/>
    <col min="3" max="4" width="18" customWidth="1"/>
    <col min="5" max="5" width="20" customWidth="1"/>
    <col min="6" max="6" width="22" customWidth="1"/>
  </cols>
  <sheetData>
    <row r="1" spans="1:6" ht="24" customHeight="1">
      <c r="A1" s="68" t="s">
        <v>759</v>
      </c>
      <c r="B1" s="68"/>
      <c r="C1" s="68"/>
      <c r="D1" s="68"/>
      <c r="E1" s="68"/>
      <c r="F1" s="68"/>
    </row>
    <row r="3" spans="1:6" ht="31.5" customHeight="1">
      <c r="A3" s="6" t="s">
        <v>28</v>
      </c>
      <c r="B3" s="6" t="s">
        <v>3</v>
      </c>
      <c r="C3" s="6" t="s">
        <v>760</v>
      </c>
      <c r="D3" s="6" t="s">
        <v>761</v>
      </c>
      <c r="E3" s="6" t="s">
        <v>762</v>
      </c>
      <c r="F3" s="6" t="s">
        <v>763</v>
      </c>
    </row>
    <row r="4" spans="1:6" ht="15" customHeight="1">
      <c r="A4" s="46" t="s">
        <v>44</v>
      </c>
      <c r="B4" s="47">
        <f>COUNTIF('🎯 205 Actions'!C2:C206,A4)</f>
        <v>50</v>
      </c>
      <c r="C4" s="47">
        <f>COUNTIFS('🎯 205 Actions'!C2:C206,A4,'🎯 205 Actions'!F2:F206,"Initial 🔴")</f>
        <v>20</v>
      </c>
      <c r="D4" s="47">
        <f>COUNTIFS('🎯 205 Actions'!C2:C206,A4,'🎯 205 Actions'!F2:F206,"En Progrès 🟡")</f>
        <v>20</v>
      </c>
      <c r="E4" s="47">
        <f>COUNTIFS('🎯 205 Actions'!C2:C206,A4,'🎯 205 Actions'!F2:F206,"Formalisé 🔵")</f>
        <v>10</v>
      </c>
      <c r="F4" s="48">
        <f>IFERROR(COUNTIFS('🎯 205 Actions'!C2:C206,A4,'🎯 205 Actions'!K2:K206,"Écrit")/B4,0)</f>
        <v>0</v>
      </c>
    </row>
    <row r="5" spans="1:6" ht="15" customHeight="1">
      <c r="A5" s="49" t="s">
        <v>184</v>
      </c>
      <c r="B5" s="47">
        <f>COUNTIF('🎯 205 Actions'!C2:C206,A5)</f>
        <v>28</v>
      </c>
      <c r="C5" s="47">
        <f>COUNTIFS('🎯 205 Actions'!C2:C206,A5,'🎯 205 Actions'!F2:F206,"Initial 🔴")</f>
        <v>10</v>
      </c>
      <c r="D5" s="47">
        <f>COUNTIFS('🎯 205 Actions'!C2:C206,A5,'🎯 205 Actions'!F2:F206,"En Progrès 🟡")</f>
        <v>10</v>
      </c>
      <c r="E5" s="47">
        <f>COUNTIFS('🎯 205 Actions'!C2:C206,A5,'🎯 205 Actions'!F2:F206,"Formalisé 🔵")</f>
        <v>8</v>
      </c>
      <c r="F5" s="48">
        <f>IFERROR(COUNTIFS('🎯 205 Actions'!C2:C206,A5,'🎯 205 Actions'!K2:K206,"Écrit")/B5,0)</f>
        <v>0</v>
      </c>
    </row>
    <row r="6" spans="1:6" ht="15" customHeight="1">
      <c r="A6" s="50" t="s">
        <v>260</v>
      </c>
      <c r="B6" s="47">
        <f>COUNTIF('🎯 205 Actions'!C2:C206,A6)</f>
        <v>26</v>
      </c>
      <c r="C6" s="47">
        <f>COUNTIFS('🎯 205 Actions'!C2:C206,A6,'🎯 205 Actions'!F2:F206,"Initial 🔴")</f>
        <v>10</v>
      </c>
      <c r="D6" s="47">
        <f>COUNTIFS('🎯 205 Actions'!C2:C206,A6,'🎯 205 Actions'!F2:F206,"En Progrès 🟡")</f>
        <v>9</v>
      </c>
      <c r="E6" s="47">
        <f>COUNTIFS('🎯 205 Actions'!C2:C206,A6,'🎯 205 Actions'!F2:F206,"Formalisé 🔵")</f>
        <v>6</v>
      </c>
      <c r="F6" s="48">
        <f>IFERROR(COUNTIFS('🎯 205 Actions'!C2:C206,A6,'🎯 205 Actions'!K2:K206,"Écrit")/B6,0)</f>
        <v>0</v>
      </c>
    </row>
    <row r="7" spans="1:6" ht="15" customHeight="1">
      <c r="A7" s="51" t="s">
        <v>336</v>
      </c>
      <c r="B7" s="47">
        <f>COUNTIF('🎯 205 Actions'!C2:C206,A7)</f>
        <v>26</v>
      </c>
      <c r="C7" s="47">
        <f>COUNTIFS('🎯 205 Actions'!C2:C206,A7,'🎯 205 Actions'!F2:F206,"Initial 🔴")</f>
        <v>10</v>
      </c>
      <c r="D7" s="47">
        <f>COUNTIFS('🎯 205 Actions'!C2:C206,A7,'🎯 205 Actions'!F2:F206,"En Progrès 🟡")</f>
        <v>10</v>
      </c>
      <c r="E7" s="47">
        <f>COUNTIFS('🎯 205 Actions'!C2:C206,A7,'🎯 205 Actions'!F2:F206,"Formalisé 🔵")</f>
        <v>6</v>
      </c>
      <c r="F7" s="48">
        <f>IFERROR(COUNTIFS('🎯 205 Actions'!C2:C206,A7,'🎯 205 Actions'!K2:K206,"Écrit")/B7,0)</f>
        <v>0</v>
      </c>
    </row>
    <row r="8" spans="1:6" ht="15" customHeight="1">
      <c r="A8" s="52" t="s">
        <v>399</v>
      </c>
      <c r="B8" s="47">
        <f>COUNTIF('🎯 205 Actions'!C2:C206,A8)</f>
        <v>27</v>
      </c>
      <c r="C8" s="47">
        <f>COUNTIFS('🎯 205 Actions'!C2:C206,A8,'🎯 205 Actions'!F2:F206,"Initial 🔴")</f>
        <v>10</v>
      </c>
      <c r="D8" s="47">
        <f>COUNTIFS('🎯 205 Actions'!C2:C206,A8,'🎯 205 Actions'!F2:F206,"En Progrès 🟡")</f>
        <v>10</v>
      </c>
      <c r="E8" s="47">
        <f>COUNTIFS('🎯 205 Actions'!C2:C206,A8,'🎯 205 Actions'!F2:F206,"Formalisé 🔵")</f>
        <v>6</v>
      </c>
      <c r="F8" s="48">
        <f>IFERROR(COUNTIFS('🎯 205 Actions'!C2:C206,A8,'🎯 205 Actions'!K2:K206,"Écrit")/B8,0)</f>
        <v>0</v>
      </c>
    </row>
    <row r="9" spans="1:6" ht="15" customHeight="1">
      <c r="A9" s="53" t="s">
        <v>467</v>
      </c>
      <c r="B9" s="47">
        <f>COUNTIF('🎯 205 Actions'!C2:C206,A9)</f>
        <v>21</v>
      </c>
      <c r="C9" s="47">
        <f>COUNTIFS('🎯 205 Actions'!C2:C206,A9,'🎯 205 Actions'!F2:F206,"Initial 🔴")</f>
        <v>8</v>
      </c>
      <c r="D9" s="47">
        <f>COUNTIFS('🎯 205 Actions'!C2:C206,A9,'🎯 205 Actions'!F2:F206,"En Progrès 🟡")</f>
        <v>8</v>
      </c>
      <c r="E9" s="47">
        <f>COUNTIFS('🎯 205 Actions'!C2:C206,A9,'🎯 205 Actions'!F2:F206,"Formalisé 🔵")</f>
        <v>4</v>
      </c>
      <c r="F9" s="48">
        <f>IFERROR(COUNTIFS('🎯 205 Actions'!C2:C206,A9,'🎯 205 Actions'!K2:K206,"Écrit")/B9,0)</f>
        <v>0</v>
      </c>
    </row>
    <row r="10" spans="1:6" ht="15" customHeight="1">
      <c r="A10" s="54" t="s">
        <v>520</v>
      </c>
      <c r="B10" s="47">
        <f>COUNTIF('🎯 205 Actions'!C2:C206,A10)</f>
        <v>22</v>
      </c>
      <c r="C10" s="47">
        <f>COUNTIFS('🎯 205 Actions'!C2:C206,A10,'🎯 205 Actions'!F2:F206,"Initial 🔴")</f>
        <v>10</v>
      </c>
      <c r="D10" s="47">
        <f>COUNTIFS('🎯 205 Actions'!C2:C206,A10,'🎯 205 Actions'!F2:F206,"En Progrès 🟡")</f>
        <v>8</v>
      </c>
      <c r="E10" s="47">
        <f>COUNTIFS('🎯 205 Actions'!C2:C206,A10,'🎯 205 Actions'!F2:F206,"Formalisé 🔵")</f>
        <v>4</v>
      </c>
      <c r="F10" s="48">
        <f>IFERROR(COUNTIFS('🎯 205 Actions'!C2:C206,A10,'🎯 205 Actions'!K2:K206,"Écrit")/B10,0)</f>
        <v>0</v>
      </c>
    </row>
    <row r="11" spans="1:6" ht="15" customHeight="1">
      <c r="A11" s="55" t="s">
        <v>577</v>
      </c>
      <c r="B11" s="47">
        <f>COUNTIF('🎯 205 Actions'!C2:C206,A11)</f>
        <v>5</v>
      </c>
      <c r="C11" s="47">
        <f>COUNTIFS('🎯 205 Actions'!C2:C206,A11,'🎯 205 Actions'!F2:F206,"Initial 🔴")</f>
        <v>0</v>
      </c>
      <c r="D11" s="47">
        <f>COUNTIFS('🎯 205 Actions'!C2:C206,A11,'🎯 205 Actions'!F2:F206,"En Progrès 🟡")</f>
        <v>0</v>
      </c>
      <c r="E11" s="47">
        <f>COUNTIFS('🎯 205 Actions'!C2:C206,A11,'🎯 205 Actions'!F2:F206,"Formalisé 🔵")</f>
        <v>0</v>
      </c>
      <c r="F11" s="48">
        <f>IFERROR(COUNTIFS('🎯 205 Actions'!C2:C206,A11,'🎯 205 Actions'!K2:K206,"Écrit")/B11,0)</f>
        <v>0</v>
      </c>
    </row>
    <row r="12" spans="1:6" ht="15" customHeight="1">
      <c r="A12" s="56" t="s">
        <v>758</v>
      </c>
      <c r="B12" s="57">
        <f>SUM(B4:B11)</f>
        <v>205</v>
      </c>
      <c r="C12" s="57">
        <f>SUM(C4:C11)</f>
        <v>78</v>
      </c>
      <c r="D12" s="57">
        <f>SUM(D4:D11)</f>
        <v>75</v>
      </c>
      <c r="E12" s="57">
        <f>SUM(E4:E11)</f>
        <v>44</v>
      </c>
      <c r="F12" s="58">
        <f>IFERROR(COUNTIF('🎯 205 Actions'!K2:K206,"Écrit")/B12,0)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zoomScaleNormal="100" workbookViewId="0"/>
  </sheetViews>
  <sheetFormatPr defaultColWidth="8.7109375" defaultRowHeight="15"/>
  <cols>
    <col min="1" max="1" width="22" customWidth="1"/>
    <col min="2" max="3" width="14" customWidth="1"/>
    <col min="4" max="4" width="18" customWidth="1"/>
  </cols>
  <sheetData>
    <row r="1" spans="1:4" ht="24" customHeight="1">
      <c r="A1" s="68" t="s">
        <v>764</v>
      </c>
      <c r="B1" s="68"/>
      <c r="C1" s="68"/>
      <c r="D1" s="68"/>
    </row>
    <row r="3" spans="1:4" ht="15.75" customHeight="1">
      <c r="A3" s="69" t="s">
        <v>765</v>
      </c>
      <c r="B3" s="69"/>
      <c r="C3" s="69"/>
      <c r="D3" s="69"/>
    </row>
    <row r="4" spans="1:4" ht="27.75" customHeight="1">
      <c r="A4" s="6" t="s">
        <v>32</v>
      </c>
      <c r="B4" s="6" t="s">
        <v>766</v>
      </c>
      <c r="C4" s="6" t="s">
        <v>767</v>
      </c>
      <c r="D4" s="6" t="s">
        <v>8</v>
      </c>
    </row>
    <row r="5" spans="1:4" ht="15" customHeight="1">
      <c r="A5" s="53" t="s">
        <v>48</v>
      </c>
      <c r="B5" s="47">
        <f>COUNTIF('🎯 205 Actions'!G2:G206,A5)</f>
        <v>83</v>
      </c>
      <c r="C5" s="47">
        <f>COUNTIFS('🎯 205 Actions'!G2:G206,A5,'🎯 205 Actions'!K2:K206,"Écrit")</f>
        <v>0</v>
      </c>
      <c r="D5" s="48">
        <f>IFERROR(C5/B5,0)</f>
        <v>0</v>
      </c>
    </row>
    <row r="6" spans="1:4" ht="15" customHeight="1">
      <c r="A6" s="50" t="s">
        <v>60</v>
      </c>
      <c r="B6" s="47">
        <f>COUNTIF('🎯 205 Actions'!G2:G206,A6)</f>
        <v>75</v>
      </c>
      <c r="C6" s="47">
        <f>COUNTIFS('🎯 205 Actions'!G2:G206,A6,'🎯 205 Actions'!K2:K206,"Écrit")</f>
        <v>0</v>
      </c>
      <c r="D6" s="48">
        <f>IFERROR(C6/B6,0)</f>
        <v>0</v>
      </c>
    </row>
    <row r="7" spans="1:4" ht="15" customHeight="1">
      <c r="A7" s="49" t="s">
        <v>66</v>
      </c>
      <c r="B7" s="47">
        <f>COUNTIF('🎯 205 Actions'!G2:G206,A7)</f>
        <v>44</v>
      </c>
      <c r="C7" s="47">
        <f>COUNTIFS('🎯 205 Actions'!G2:G206,A7,'🎯 205 Actions'!K2:K206,"Écrit")</f>
        <v>0</v>
      </c>
      <c r="D7" s="48">
        <f>IFERROR(C7/B7,0)</f>
        <v>0</v>
      </c>
    </row>
    <row r="8" spans="1:4" ht="15" customHeight="1">
      <c r="A8" s="59" t="s">
        <v>263</v>
      </c>
      <c r="B8" s="47">
        <f>COUNTIF('🎯 205 Actions'!G2:G206,A8)</f>
        <v>3</v>
      </c>
      <c r="C8" s="47">
        <f>COUNTIFS('🎯 205 Actions'!G2:G206,A8,'🎯 205 Actions'!K2:K206,"Écrit")</f>
        <v>0</v>
      </c>
      <c r="D8" s="48">
        <f>IFERROR(C8/B8,0)</f>
        <v>0</v>
      </c>
    </row>
    <row r="11" spans="1:4" ht="15.75" customHeight="1">
      <c r="A11" s="69" t="s">
        <v>768</v>
      </c>
      <c r="B11" s="69"/>
      <c r="C11" s="69"/>
      <c r="D11" s="69"/>
    </row>
    <row r="12" spans="1:4" ht="23.25" customHeight="1">
      <c r="A12" s="60" t="s">
        <v>769</v>
      </c>
      <c r="B12" s="64" t="s">
        <v>770</v>
      </c>
      <c r="C12" s="64"/>
      <c r="D12" s="64"/>
    </row>
    <row r="13" spans="1:4" ht="23.25" customHeight="1">
      <c r="A13" s="60" t="s">
        <v>771</v>
      </c>
      <c r="B13" s="64" t="s">
        <v>772</v>
      </c>
      <c r="C13" s="64"/>
      <c r="D13" s="64"/>
    </row>
    <row r="14" spans="1:4" ht="23.25" customHeight="1">
      <c r="A14" s="60" t="s">
        <v>773</v>
      </c>
      <c r="B14" s="64" t="s">
        <v>774</v>
      </c>
      <c r="C14" s="64"/>
      <c r="D14" s="64"/>
    </row>
    <row r="15" spans="1:4" ht="23.25" customHeight="1">
      <c r="A15" s="60" t="s">
        <v>775</v>
      </c>
      <c r="B15" s="64" t="s">
        <v>776</v>
      </c>
      <c r="C15" s="64"/>
      <c r="D15" s="64"/>
    </row>
  </sheetData>
  <mergeCells count="7">
    <mergeCell ref="B14:D14"/>
    <mergeCell ref="B15:D15"/>
    <mergeCell ref="A1:D1"/>
    <mergeCell ref="A3:D3"/>
    <mergeCell ref="A11:D11"/>
    <mergeCell ref="B12:D12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7" customWidth="1"/>
    <col min="2" max="2" width="9" customWidth="1"/>
    <col min="3" max="3" width="11" customWidth="1"/>
    <col min="4" max="4" width="22" customWidth="1"/>
    <col min="5" max="5" width="80" customWidth="1"/>
    <col min="6" max="6" width="22" customWidth="1"/>
  </cols>
  <sheetData>
    <row r="1" spans="1:6" ht="21.75" customHeight="1">
      <c r="A1" s="70" t="s">
        <v>777</v>
      </c>
      <c r="B1" s="70"/>
      <c r="C1" s="70"/>
      <c r="D1" s="70"/>
      <c r="E1" s="70"/>
      <c r="F1" s="70"/>
    </row>
    <row r="2" spans="1:6" ht="15" customHeight="1">
      <c r="A2" s="71" t="s">
        <v>778</v>
      </c>
      <c r="B2" s="71"/>
      <c r="C2" s="71"/>
      <c r="D2" s="71"/>
      <c r="E2" s="71"/>
      <c r="F2" s="71"/>
    </row>
    <row r="4" spans="1:6" ht="27.75" customHeight="1">
      <c r="A4" s="6" t="s">
        <v>779</v>
      </c>
      <c r="B4" s="6" t="s">
        <v>780</v>
      </c>
      <c r="C4" s="6" t="s">
        <v>27</v>
      </c>
      <c r="D4" s="6" t="s">
        <v>28</v>
      </c>
      <c r="E4" s="6" t="s">
        <v>34</v>
      </c>
      <c r="F4" s="6" t="s">
        <v>781</v>
      </c>
    </row>
    <row r="5" spans="1:6" ht="27.75" customHeight="1">
      <c r="A5" s="8">
        <v>1</v>
      </c>
      <c r="B5" s="8">
        <v>1</v>
      </c>
      <c r="C5" s="8" t="s">
        <v>43</v>
      </c>
      <c r="D5" s="9" t="s">
        <v>44</v>
      </c>
      <c r="E5" s="8" t="s">
        <v>50</v>
      </c>
      <c r="F5" s="8"/>
    </row>
    <row r="6" spans="1:6" ht="27.75" customHeight="1">
      <c r="A6" s="8">
        <v>2</v>
      </c>
      <c r="B6" s="8">
        <v>2</v>
      </c>
      <c r="C6" s="8" t="s">
        <v>43</v>
      </c>
      <c r="D6" s="9" t="s">
        <v>44</v>
      </c>
      <c r="E6" s="8" t="s">
        <v>57</v>
      </c>
      <c r="F6" s="8"/>
    </row>
    <row r="7" spans="1:6" ht="27.75" customHeight="1">
      <c r="A7" s="8">
        <v>3</v>
      </c>
      <c r="B7" s="8">
        <v>6</v>
      </c>
      <c r="C7" s="8" t="s">
        <v>70</v>
      </c>
      <c r="D7" s="9" t="s">
        <v>44</v>
      </c>
      <c r="E7" s="8" t="s">
        <v>73</v>
      </c>
      <c r="F7" s="8"/>
    </row>
    <row r="8" spans="1:6" ht="15" customHeight="1">
      <c r="A8" s="8">
        <v>4</v>
      </c>
      <c r="B8" s="8">
        <v>7</v>
      </c>
      <c r="C8" s="8" t="s">
        <v>70</v>
      </c>
      <c r="D8" s="9" t="s">
        <v>44</v>
      </c>
      <c r="E8" s="8" t="s">
        <v>75</v>
      </c>
      <c r="F8" s="8"/>
    </row>
    <row r="9" spans="1:6" ht="27.75" customHeight="1">
      <c r="A9" s="8">
        <v>5</v>
      </c>
      <c r="B9" s="8">
        <v>11</v>
      </c>
      <c r="C9" s="8" t="s">
        <v>82</v>
      </c>
      <c r="D9" s="9" t="s">
        <v>44</v>
      </c>
      <c r="E9" s="8" t="s">
        <v>85</v>
      </c>
      <c r="F9" s="8"/>
    </row>
    <row r="10" spans="1:6" ht="27.75" customHeight="1">
      <c r="A10" s="8">
        <v>6</v>
      </c>
      <c r="B10" s="8">
        <v>12</v>
      </c>
      <c r="C10" s="8" t="s">
        <v>82</v>
      </c>
      <c r="D10" s="9" t="s">
        <v>44</v>
      </c>
      <c r="E10" s="8" t="s">
        <v>87</v>
      </c>
      <c r="F10" s="8"/>
    </row>
    <row r="11" spans="1:6" ht="27.75" customHeight="1">
      <c r="A11" s="8">
        <v>7</v>
      </c>
      <c r="B11" s="8">
        <v>16</v>
      </c>
      <c r="C11" s="8" t="s">
        <v>93</v>
      </c>
      <c r="D11" s="9" t="s">
        <v>44</v>
      </c>
      <c r="E11" s="8" t="s">
        <v>96</v>
      </c>
      <c r="F11" s="8"/>
    </row>
    <row r="12" spans="1:6" ht="27.75" customHeight="1">
      <c r="A12" s="8">
        <v>8</v>
      </c>
      <c r="B12" s="8">
        <v>17</v>
      </c>
      <c r="C12" s="8" t="s">
        <v>93</v>
      </c>
      <c r="D12" s="9" t="s">
        <v>44</v>
      </c>
      <c r="E12" s="8" t="s">
        <v>101</v>
      </c>
      <c r="F12" s="8"/>
    </row>
    <row r="13" spans="1:6" ht="15" customHeight="1">
      <c r="A13" s="8">
        <v>9</v>
      </c>
      <c r="B13" s="8">
        <v>21</v>
      </c>
      <c r="C13" s="8" t="s">
        <v>107</v>
      </c>
      <c r="D13" s="9" t="s">
        <v>44</v>
      </c>
      <c r="E13" s="8" t="s">
        <v>110</v>
      </c>
      <c r="F13" s="8"/>
    </row>
    <row r="14" spans="1:6" ht="27.75" customHeight="1">
      <c r="A14" s="8">
        <v>10</v>
      </c>
      <c r="B14" s="8">
        <v>22</v>
      </c>
      <c r="C14" s="8" t="s">
        <v>107</v>
      </c>
      <c r="D14" s="9" t="s">
        <v>44</v>
      </c>
      <c r="E14" s="8" t="s">
        <v>112</v>
      </c>
      <c r="F14" s="8"/>
    </row>
    <row r="15" spans="1:6" ht="27.75" customHeight="1">
      <c r="A15" s="8">
        <v>11</v>
      </c>
      <c r="B15" s="8">
        <v>26</v>
      </c>
      <c r="C15" s="8" t="s">
        <v>119</v>
      </c>
      <c r="D15" s="9" t="s">
        <v>44</v>
      </c>
      <c r="E15" s="8" t="s">
        <v>122</v>
      </c>
      <c r="F15" s="8"/>
    </row>
    <row r="16" spans="1:6" ht="27.75" customHeight="1">
      <c r="A16" s="8">
        <v>12</v>
      </c>
      <c r="B16" s="8">
        <v>27</v>
      </c>
      <c r="C16" s="8" t="s">
        <v>119</v>
      </c>
      <c r="D16" s="9" t="s">
        <v>44</v>
      </c>
      <c r="E16" s="8" t="s">
        <v>124</v>
      </c>
      <c r="F16" s="8"/>
    </row>
    <row r="17" spans="1:6" ht="27.75" customHeight="1">
      <c r="A17" s="8">
        <v>13</v>
      </c>
      <c r="B17" s="8">
        <v>31</v>
      </c>
      <c r="C17" s="8" t="s">
        <v>131</v>
      </c>
      <c r="D17" s="9" t="s">
        <v>44</v>
      </c>
      <c r="E17" s="8" t="s">
        <v>134</v>
      </c>
      <c r="F17" s="8"/>
    </row>
    <row r="18" spans="1:6" ht="27.75" customHeight="1">
      <c r="A18" s="8">
        <v>14</v>
      </c>
      <c r="B18" s="8">
        <v>32</v>
      </c>
      <c r="C18" s="8" t="s">
        <v>131</v>
      </c>
      <c r="D18" s="9" t="s">
        <v>44</v>
      </c>
      <c r="E18" s="8" t="s">
        <v>139</v>
      </c>
      <c r="F18" s="8"/>
    </row>
    <row r="19" spans="1:6" ht="27.75" customHeight="1">
      <c r="A19" s="8">
        <v>15</v>
      </c>
      <c r="B19" s="8">
        <v>36</v>
      </c>
      <c r="C19" s="8" t="s">
        <v>145</v>
      </c>
      <c r="D19" s="9" t="s">
        <v>44</v>
      </c>
      <c r="E19" s="8" t="s">
        <v>148</v>
      </c>
      <c r="F19" s="8"/>
    </row>
    <row r="20" spans="1:6" ht="27.75" customHeight="1">
      <c r="A20" s="8">
        <v>16</v>
      </c>
      <c r="B20" s="8">
        <v>37</v>
      </c>
      <c r="C20" s="8" t="s">
        <v>145</v>
      </c>
      <c r="D20" s="9" t="s">
        <v>44</v>
      </c>
      <c r="E20" s="8" t="s">
        <v>152</v>
      </c>
      <c r="F20" s="8"/>
    </row>
    <row r="21" spans="1:6" ht="27.75" customHeight="1">
      <c r="A21" s="8">
        <v>17</v>
      </c>
      <c r="B21" s="8">
        <v>41</v>
      </c>
      <c r="C21" s="8" t="s">
        <v>159</v>
      </c>
      <c r="D21" s="9" t="s">
        <v>44</v>
      </c>
      <c r="E21" s="8" t="s">
        <v>162</v>
      </c>
      <c r="F21" s="8"/>
    </row>
    <row r="22" spans="1:6" ht="27.75" customHeight="1">
      <c r="A22" s="8">
        <v>18</v>
      </c>
      <c r="B22" s="8">
        <v>42</v>
      </c>
      <c r="C22" s="8" t="s">
        <v>159</v>
      </c>
      <c r="D22" s="9" t="s">
        <v>44</v>
      </c>
      <c r="E22" s="8" t="s">
        <v>164</v>
      </c>
      <c r="F22" s="8"/>
    </row>
    <row r="23" spans="1:6" ht="27.75" customHeight="1">
      <c r="A23" s="8">
        <v>19</v>
      </c>
      <c r="B23" s="8">
        <v>46</v>
      </c>
      <c r="C23" s="8" t="s">
        <v>170</v>
      </c>
      <c r="D23" s="9" t="s">
        <v>44</v>
      </c>
      <c r="E23" s="8" t="s">
        <v>173</v>
      </c>
      <c r="F23" s="8"/>
    </row>
    <row r="24" spans="1:6" ht="27.75" customHeight="1">
      <c r="A24" s="8">
        <v>20</v>
      </c>
      <c r="B24" s="8">
        <v>47</v>
      </c>
      <c r="C24" s="8" t="s">
        <v>170</v>
      </c>
      <c r="D24" s="9" t="s">
        <v>44</v>
      </c>
      <c r="E24" s="8" t="s">
        <v>177</v>
      </c>
      <c r="F24" s="8"/>
    </row>
    <row r="25" spans="1:6" ht="27.75" customHeight="1">
      <c r="A25" s="8">
        <v>21</v>
      </c>
      <c r="B25" s="8">
        <v>51</v>
      </c>
      <c r="C25" s="8" t="s">
        <v>183</v>
      </c>
      <c r="D25" s="17" t="s">
        <v>184</v>
      </c>
      <c r="E25" s="8" t="s">
        <v>187</v>
      </c>
      <c r="F25" s="8"/>
    </row>
    <row r="26" spans="1:6" ht="27.75" customHeight="1">
      <c r="A26" s="8">
        <v>22</v>
      </c>
      <c r="B26" s="8">
        <v>52</v>
      </c>
      <c r="C26" s="8" t="s">
        <v>183</v>
      </c>
      <c r="D26" s="17" t="s">
        <v>184</v>
      </c>
      <c r="E26" s="8" t="s">
        <v>190</v>
      </c>
      <c r="F26" s="8"/>
    </row>
    <row r="27" spans="1:6" ht="27.75" customHeight="1">
      <c r="A27" s="8">
        <v>23</v>
      </c>
      <c r="B27" s="8">
        <v>57</v>
      </c>
      <c r="C27" s="8" t="s">
        <v>203</v>
      </c>
      <c r="D27" s="17" t="s">
        <v>184</v>
      </c>
      <c r="E27" s="8" t="s">
        <v>206</v>
      </c>
      <c r="F27" s="8"/>
    </row>
    <row r="28" spans="1:6" ht="27.75" customHeight="1">
      <c r="A28" s="8">
        <v>24</v>
      </c>
      <c r="B28" s="8">
        <v>58</v>
      </c>
      <c r="C28" s="8" t="s">
        <v>203</v>
      </c>
      <c r="D28" s="17" t="s">
        <v>184</v>
      </c>
      <c r="E28" s="8" t="s">
        <v>209</v>
      </c>
      <c r="F28" s="8"/>
    </row>
    <row r="29" spans="1:6" ht="27.75" customHeight="1">
      <c r="A29" s="8">
        <v>25</v>
      </c>
      <c r="B29" s="8">
        <v>63</v>
      </c>
      <c r="C29" s="8" t="s">
        <v>218</v>
      </c>
      <c r="D29" s="17" t="s">
        <v>184</v>
      </c>
      <c r="E29" s="8" t="s">
        <v>221</v>
      </c>
      <c r="F29" s="8"/>
    </row>
    <row r="30" spans="1:6" ht="27.75" customHeight="1">
      <c r="A30" s="8">
        <v>26</v>
      </c>
      <c r="B30" s="8">
        <v>64</v>
      </c>
      <c r="C30" s="8" t="s">
        <v>218</v>
      </c>
      <c r="D30" s="17" t="s">
        <v>184</v>
      </c>
      <c r="E30" s="8" t="s">
        <v>224</v>
      </c>
      <c r="F30" s="8"/>
    </row>
    <row r="31" spans="1:6" ht="27.75" customHeight="1">
      <c r="A31" s="8">
        <v>27</v>
      </c>
      <c r="B31" s="8">
        <v>68</v>
      </c>
      <c r="C31" s="8" t="s">
        <v>230</v>
      </c>
      <c r="D31" s="17" t="s">
        <v>184</v>
      </c>
      <c r="E31" s="8" t="s">
        <v>233</v>
      </c>
      <c r="F31" s="8"/>
    </row>
    <row r="32" spans="1:6" ht="27.75" customHeight="1">
      <c r="A32" s="8">
        <v>28</v>
      </c>
      <c r="B32" s="8">
        <v>69</v>
      </c>
      <c r="C32" s="8" t="s">
        <v>230</v>
      </c>
      <c r="D32" s="17" t="s">
        <v>184</v>
      </c>
      <c r="E32" s="8" t="s">
        <v>236</v>
      </c>
      <c r="F32" s="8"/>
    </row>
    <row r="33" spans="1:6" ht="27.75" customHeight="1">
      <c r="A33" s="8">
        <v>29</v>
      </c>
      <c r="B33" s="8">
        <v>73</v>
      </c>
      <c r="C33" s="8" t="s">
        <v>245</v>
      </c>
      <c r="D33" s="17" t="s">
        <v>184</v>
      </c>
      <c r="E33" s="8" t="s">
        <v>248</v>
      </c>
      <c r="F33" s="8"/>
    </row>
    <row r="34" spans="1:6" ht="27.75" customHeight="1">
      <c r="A34" s="8">
        <v>30</v>
      </c>
      <c r="B34" s="8">
        <v>74</v>
      </c>
      <c r="C34" s="8" t="s">
        <v>245</v>
      </c>
      <c r="D34" s="17" t="s">
        <v>184</v>
      </c>
      <c r="E34" s="8" t="s">
        <v>251</v>
      </c>
      <c r="F34" s="8"/>
    </row>
    <row r="35" spans="1:6" ht="27.75" customHeight="1">
      <c r="A35" s="8">
        <v>31</v>
      </c>
      <c r="B35" s="8">
        <v>80</v>
      </c>
      <c r="C35" s="8" t="s">
        <v>259</v>
      </c>
      <c r="D35" s="16" t="s">
        <v>260</v>
      </c>
      <c r="E35" s="8" t="s">
        <v>270</v>
      </c>
      <c r="F35" s="8"/>
    </row>
    <row r="36" spans="1:6" ht="27.75" customHeight="1">
      <c r="A36" s="8">
        <v>32</v>
      </c>
      <c r="B36" s="8">
        <v>81</v>
      </c>
      <c r="C36" s="8" t="s">
        <v>259</v>
      </c>
      <c r="D36" s="16" t="s">
        <v>260</v>
      </c>
      <c r="E36" s="8" t="s">
        <v>274</v>
      </c>
      <c r="F36" s="8"/>
    </row>
    <row r="37" spans="1:6" ht="23.25" customHeight="1">
      <c r="A37" s="8">
        <v>33</v>
      </c>
      <c r="B37" s="8">
        <v>85</v>
      </c>
      <c r="C37" s="8" t="s">
        <v>280</v>
      </c>
      <c r="D37" s="16" t="s">
        <v>260</v>
      </c>
      <c r="E37" s="8" t="s">
        <v>283</v>
      </c>
      <c r="F37" s="8"/>
    </row>
    <row r="38" spans="1:6" ht="27.75" customHeight="1">
      <c r="A38" s="8">
        <v>34</v>
      </c>
      <c r="B38" s="8">
        <v>86</v>
      </c>
      <c r="C38" s="8" t="s">
        <v>280</v>
      </c>
      <c r="D38" s="16" t="s">
        <v>260</v>
      </c>
      <c r="E38" s="8" t="s">
        <v>286</v>
      </c>
      <c r="F38" s="8"/>
    </row>
    <row r="39" spans="1:6" ht="27.75" customHeight="1">
      <c r="A39" s="8">
        <v>35</v>
      </c>
      <c r="B39" s="8">
        <v>90</v>
      </c>
      <c r="C39" s="8" t="s">
        <v>293</v>
      </c>
      <c r="D39" s="16" t="s">
        <v>260</v>
      </c>
      <c r="E39" s="8" t="s">
        <v>296</v>
      </c>
      <c r="F39" s="8"/>
    </row>
    <row r="40" spans="1:6" ht="27.75" customHeight="1">
      <c r="A40" s="8">
        <v>36</v>
      </c>
      <c r="B40" s="8">
        <v>91</v>
      </c>
      <c r="C40" s="8" t="s">
        <v>293</v>
      </c>
      <c r="D40" s="16" t="s">
        <v>260</v>
      </c>
      <c r="E40" s="8" t="s">
        <v>300</v>
      </c>
      <c r="F40" s="8"/>
    </row>
    <row r="41" spans="1:6" ht="27.75" customHeight="1">
      <c r="A41" s="8">
        <v>37</v>
      </c>
      <c r="B41" s="8">
        <v>94</v>
      </c>
      <c r="C41" s="8" t="s">
        <v>305</v>
      </c>
      <c r="D41" s="16" t="s">
        <v>260</v>
      </c>
      <c r="E41" s="8" t="s">
        <v>308</v>
      </c>
      <c r="F41" s="8"/>
    </row>
    <row r="42" spans="1:6" ht="15" customHeight="1">
      <c r="A42" s="8">
        <v>38</v>
      </c>
      <c r="B42" s="8">
        <v>95</v>
      </c>
      <c r="C42" s="8" t="s">
        <v>305</v>
      </c>
      <c r="D42" s="16" t="s">
        <v>260</v>
      </c>
      <c r="E42" s="8" t="s">
        <v>312</v>
      </c>
      <c r="F42" s="8"/>
    </row>
    <row r="43" spans="1:6" ht="27.75" customHeight="1">
      <c r="A43" s="8">
        <v>39</v>
      </c>
      <c r="B43" s="8">
        <v>100</v>
      </c>
      <c r="C43" s="8" t="s">
        <v>320</v>
      </c>
      <c r="D43" s="16" t="s">
        <v>260</v>
      </c>
      <c r="E43" s="8" t="s">
        <v>323</v>
      </c>
      <c r="F43" s="8"/>
    </row>
    <row r="44" spans="1:6" ht="27.75" customHeight="1">
      <c r="A44" s="8">
        <v>40</v>
      </c>
      <c r="B44" s="8">
        <v>101</v>
      </c>
      <c r="C44" s="8" t="s">
        <v>320</v>
      </c>
      <c r="D44" s="16" t="s">
        <v>260</v>
      </c>
      <c r="E44" s="8" t="s">
        <v>327</v>
      </c>
      <c r="F44" s="8"/>
    </row>
    <row r="45" spans="1:6" ht="27.75" customHeight="1">
      <c r="A45" s="8">
        <v>41</v>
      </c>
      <c r="B45" s="8">
        <v>105</v>
      </c>
      <c r="C45" s="8" t="s">
        <v>335</v>
      </c>
      <c r="D45" s="26" t="s">
        <v>336</v>
      </c>
      <c r="E45" s="8" t="s">
        <v>339</v>
      </c>
      <c r="F45" s="8"/>
    </row>
    <row r="46" spans="1:6" ht="27.75" customHeight="1">
      <c r="A46" s="8">
        <v>42</v>
      </c>
      <c r="B46" s="8">
        <v>106</v>
      </c>
      <c r="C46" s="8" t="s">
        <v>335</v>
      </c>
      <c r="D46" s="26" t="s">
        <v>336</v>
      </c>
      <c r="E46" s="8" t="s">
        <v>342</v>
      </c>
      <c r="F46" s="8"/>
    </row>
    <row r="47" spans="1:6" ht="15" customHeight="1">
      <c r="A47" s="8">
        <v>43</v>
      </c>
      <c r="B47" s="8">
        <v>111</v>
      </c>
      <c r="C47" s="8" t="s">
        <v>350</v>
      </c>
      <c r="D47" s="26" t="s">
        <v>336</v>
      </c>
      <c r="E47" s="8" t="s">
        <v>353</v>
      </c>
      <c r="F47" s="8"/>
    </row>
    <row r="48" spans="1:6" ht="15" customHeight="1">
      <c r="A48" s="8">
        <v>44</v>
      </c>
      <c r="B48" s="8">
        <v>112</v>
      </c>
      <c r="C48" s="8" t="s">
        <v>350</v>
      </c>
      <c r="D48" s="26" t="s">
        <v>336</v>
      </c>
      <c r="E48" s="8" t="s">
        <v>356</v>
      </c>
      <c r="F48" s="8"/>
    </row>
    <row r="49" spans="1:6" ht="27.75" customHeight="1">
      <c r="A49" s="8">
        <v>45</v>
      </c>
      <c r="B49" s="8">
        <v>116</v>
      </c>
      <c r="C49" s="8" t="s">
        <v>361</v>
      </c>
      <c r="D49" s="26" t="s">
        <v>336</v>
      </c>
      <c r="E49" s="8" t="s">
        <v>364</v>
      </c>
      <c r="F49" s="8"/>
    </row>
    <row r="50" spans="1:6" ht="27.75" customHeight="1">
      <c r="A50" s="8">
        <v>46</v>
      </c>
      <c r="B50" s="8">
        <v>117</v>
      </c>
      <c r="C50" s="8" t="s">
        <v>361</v>
      </c>
      <c r="D50" s="26" t="s">
        <v>336</v>
      </c>
      <c r="E50" s="8" t="s">
        <v>367</v>
      </c>
      <c r="F50" s="8"/>
    </row>
    <row r="51" spans="1:6" ht="27.75" customHeight="1">
      <c r="A51" s="8">
        <v>47</v>
      </c>
      <c r="B51" s="8">
        <v>121</v>
      </c>
      <c r="C51" s="8" t="s">
        <v>375</v>
      </c>
      <c r="D51" s="26" t="s">
        <v>336</v>
      </c>
      <c r="E51" s="8" t="s">
        <v>378</v>
      </c>
      <c r="F51" s="8"/>
    </row>
    <row r="52" spans="1:6" ht="27.75" customHeight="1">
      <c r="A52" s="8">
        <v>48</v>
      </c>
      <c r="B52" s="8">
        <v>122</v>
      </c>
      <c r="C52" s="8" t="s">
        <v>375</v>
      </c>
      <c r="D52" s="26" t="s">
        <v>336</v>
      </c>
      <c r="E52" s="8" t="s">
        <v>381</v>
      </c>
      <c r="F52" s="8"/>
    </row>
    <row r="53" spans="1:6" ht="27.75" customHeight="1">
      <c r="A53" s="8">
        <v>49</v>
      </c>
      <c r="B53" s="8">
        <v>126</v>
      </c>
      <c r="C53" s="8" t="s">
        <v>387</v>
      </c>
      <c r="D53" s="26" t="s">
        <v>336</v>
      </c>
      <c r="E53" s="8" t="s">
        <v>390</v>
      </c>
      <c r="F53" s="8"/>
    </row>
    <row r="54" spans="1:6" ht="27.75" customHeight="1">
      <c r="A54" s="8">
        <v>50</v>
      </c>
      <c r="B54" s="8">
        <v>127</v>
      </c>
      <c r="C54" s="8" t="s">
        <v>387</v>
      </c>
      <c r="D54" s="26" t="s">
        <v>336</v>
      </c>
      <c r="E54" s="8" t="s">
        <v>392</v>
      </c>
      <c r="F54" s="8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2026-05-13T12:11:21Z</dcterms:created>
  <dcterms:modified xsi:type="dcterms:W3CDTF">2026-06-09T13:21:25Z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ActionId">
    <vt:lpwstr>039e7257-95a9-446b-b387-0eae946db54e</vt:lpwstr>
  </property>
  <property fmtid="{D5CDD505-2E9C-101B-9397-08002B2CF9AE}" pid="3" name="MSIP_Label_4cad6431-53ea-4466-8111-3fefa470bcb9_ContentBits">
    <vt:lpwstr>0</vt:lpwstr>
  </property>
  <property fmtid="{D5CDD505-2E9C-101B-9397-08002B2CF9AE}" pid="4" name="MSIP_Label_4cad6431-53ea-4466-8111-3fefa470bcb9_Enabled">
    <vt:lpwstr>true</vt:lpwstr>
  </property>
  <property fmtid="{D5CDD505-2E9C-101B-9397-08002B2CF9AE}" pid="5" name="MSIP_Label_4cad6431-53ea-4466-8111-3fefa470bcb9_Method">
    <vt:lpwstr>Standard</vt:lpwstr>
  </property>
  <property fmtid="{D5CDD505-2E9C-101B-9397-08002B2CF9AE}" pid="6" name="MSIP_Label_4cad6431-53ea-4466-8111-3fefa470bcb9_Name">
    <vt:lpwstr>Usage Interne</vt:lpwstr>
  </property>
  <property fmtid="{D5CDD505-2E9C-101B-9397-08002B2CF9AE}" pid="7" name="MSIP_Label_4cad6431-53ea-4466-8111-3fefa470bcb9_SetDate">
    <vt:lpwstr>2026-05-13T13:19:53Z</vt:lpwstr>
  </property>
  <property fmtid="{D5CDD505-2E9C-101B-9397-08002B2CF9AE}" pid="8" name="MSIP_Label_4cad6431-53ea-4466-8111-3fefa470bcb9_SiteId">
    <vt:lpwstr>fb3baf17-c313-474c-8d5d-577a3ec97a32</vt:lpwstr>
  </property>
  <property fmtid="{D5CDD505-2E9C-101B-9397-08002B2CF9AE}" pid="9" name="MSIP_Label_4cad6431-53ea-4466-8111-3fefa470bcb9_Tag">
    <vt:lpwstr>10, 3, 0, 2</vt:lpwstr>
  </property>
</Properties>
</file>